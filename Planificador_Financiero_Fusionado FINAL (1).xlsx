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Léame" sheetId="2" r:id="rId6"/>
    <sheet state="visible" name="Config" sheetId="3" r:id="rId7"/>
    <sheet state="visible" name="Ingresos" sheetId="4" r:id="rId8"/>
    <sheet state="visible" name="Gastos" sheetId="5" r:id="rId9"/>
    <sheet state="visible" name="Dashboard" sheetId="6" r:id="rId10"/>
  </sheets>
  <definedNames>
    <definedName hidden="1" localSheetId="0" name="_xlnm._FilterDatabase">'Respuestas de formulario 1'!$A$1:$H$151</definedName>
    <definedName hidden="1" localSheetId="3" name="_xlnm._FilterDatabase">Ingresos!$A$4:$E$600</definedName>
    <definedName hidden="1" localSheetId="4" name="_xlnm._FilterDatabase">Gastos!$A$4:$G$127</definedName>
  </definedNames>
  <calcPr/>
</workbook>
</file>

<file path=xl/sharedStrings.xml><?xml version="1.0" encoding="utf-8"?>
<sst xmlns="http://schemas.openxmlformats.org/spreadsheetml/2006/main" count="1107" uniqueCount="272">
  <si>
    <t>CONFIGURACIÓN FINANCIERA</t>
  </si>
  <si>
    <t>PLANIFICADOR FINANCIERO — FUSIÓN Y CAMBIOS</t>
  </si>
  <si>
    <t>Reglas de presupuesto, fuentes de ingreso y categorías.</t>
  </si>
  <si>
    <t>Regla de Distribución</t>
  </si>
  <si>
    <t>1. Qué se fusionó</t>
  </si>
  <si>
    <t>REGISTRO DE INGRESOS CONTINUO</t>
  </si>
  <si>
    <t>Fuentes de Ingreso</t>
  </si>
  <si>
    <t>Categorías de Gastos</t>
  </si>
  <si>
    <t>Se tomó la arquitectura del archivo de la otra IA (tabla continua de Ingresos/Gastos + Dashboard con SUMIF/SUMIFS) porque es la que soporta automatización con Google Forms y análisis anual sin duplicar datos.</t>
  </si>
  <si>
    <t>Meses</t>
  </si>
  <si>
    <t>Cargue todos sus ingresos aquí de forma corrida para todo el año.</t>
  </si>
  <si>
    <t>Tipo de Uso</t>
  </si>
  <si>
    <t>Se agregó el detalle de categorías y el enfoque de seguimiento mensual que veníamos usando en nuestra planilla anterior.</t>
  </si>
  <si>
    <t>Porcentaje</t>
  </si>
  <si>
    <t>Fecha</t>
  </si>
  <si>
    <t>2. Cambios sobre el archivo original de la otra IA</t>
  </si>
  <si>
    <t>Fuente</t>
  </si>
  <si>
    <t>Categoría</t>
  </si>
  <si>
    <t>• Regla de distribución: se cambió de 45/25/30 a 50/30/20 (Necesidades/Deseos/Ahorro), que fue tu pedido original. Editable en Config!B6:B8.</t>
  </si>
  <si>
    <t>Tipo</t>
  </si>
  <si>
    <t>• Categorías de gastos: se ampliaron de 12 a 24, separando Luz/Agua/Gas/Internet/Telefonía (antes 'Servicios' único) y agregando Prepaga, Seguro Auto, Seguros Adicionales, Impuestos y Costos TC, Compras Online/Impulsivas, Delivery, Educación/Cursos y Profesional. Ver Config!F6:G29.</t>
  </si>
  <si>
    <t>Mes</t>
  </si>
  <si>
    <t>• Fuentes de ingreso: se ajustaron a tu esquema real — Residencia (Epidemiología), Centro de Castración de Saldán, Laboratorio SEVEDIC, Otros ingresos variables. Ver Config!D6:D9.</t>
  </si>
  <si>
    <t>Gastos Fijos (Necesidades)</t>
  </si>
  <si>
    <t>3. Historial cargado (Abril–Junio 2026)</t>
  </si>
  <si>
    <t>Se cargaron 118 transacciones reales extraídas de tus 3 resúmenes de Visa (cierres 23-Abr, 21-May y 25-Jun) en la hoja Gastos, ya categorizadas con el esquema nuevo.</t>
  </si>
  <si>
    <t>Detalle</t>
  </si>
  <si>
    <t>Supuesto declarado: los consumos en USD (Google One, Steam, Amazon, etc.) se agruparon en una sola fila 'Suscripciones digitales USD' por mes, convertida a un dólar tarjeta de referencia (~$1.956). Es un monto chico (equivalente a US$12-26/mes) así que el redondeo no distorsiona el análisis, pero si querés precisión exacta, editá esas 2 filas puntuales en Gastos.</t>
  </si>
  <si>
    <t>Monto ($)</t>
  </si>
  <si>
    <t>Residencia (Epidemiología)</t>
  </si>
  <si>
    <t>Marca temporal</t>
  </si>
  <si>
    <t>No se cargaron Ingresos históricos de Abril-Junio porque no tengo esos montos exactos mes a mes (solo el ingreso actual de Julio). Si querés el historial completo, pasame los montos y los cargo.</t>
  </si>
  <si>
    <t>Expensas</t>
  </si>
  <si>
    <t>4. Cómo ver los datos 'por mes' sin romper la automatización</t>
  </si>
  <si>
    <t>Fijo</t>
  </si>
  <si>
    <t>Preferimos NO dividir Gastos/Ingresos en una hoja por mes: eso rompe la carga automática vía Google Forms (que siempre agrega filas nuevas al final de una sola tabla) y obliga a reescribir fórmulas 12 veces.</t>
  </si>
  <si>
    <t>Abril</t>
  </si>
  <si>
    <t>Enero</t>
  </si>
  <si>
    <t>En cambio, tenés dos formas de ver un mes aislado sin duplicar datos:
  a) Dashboard!B4 — desplegable para elegir el mes: todo el dashboard (ingresos, gastos, cumplimiento del 50/30/20, desglose por categoría) se recalcula solo.
  b) Directamente en las hojas Ingresos y Gastos — ya tienen autofiltro activado en la columna 'Mes': hacé clic en la flechita del encabezado y tildá el mes que quieras ver.</t>
  </si>
  <si>
    <t>Gastos Variables (Deseos)</t>
  </si>
  <si>
    <t>Laboratorio</t>
  </si>
  <si>
    <t>5. Migración a Google Sheets + Google Forms</t>
  </si>
  <si>
    <t xml:space="preserve">Fecha </t>
  </si>
  <si>
    <t>Google Forms no escribe directo a un Excel: solo puede volcar respuestas en una Google Sheet. Por eso migramos: subí este archivo a Google Drive y abrilo con Google Sheets (Archivo &gt; Abrir con &gt; Google Sheets, o arrastralo a drive.google.com). Las fórmulas SUMIF/SUMIFS/VLOOKUP y la validación de datos se mantienen.</t>
  </si>
  <si>
    <t>Centro de Castración de Saldán</t>
  </si>
  <si>
    <t>Mes de Análisis</t>
  </si>
  <si>
    <t>Paso a paso para automatizar la carga de gastos:</t>
  </si>
  <si>
    <t>Prepaga</t>
  </si>
  <si>
    <t xml:space="preserve">Tipo de Registro </t>
  </si>
  <si>
    <t>Febrero</t>
  </si>
  <si>
    <t xml:space="preserve">  1. En Google Sheets, con este archivo abierto, andá a Extensiones &gt; Formularios &gt; Crear formulario. Esto crea un Google Form ligado automáticamente a una hoja de respuestas nueva.</t>
  </si>
  <si>
    <t xml:space="preserve">  Categoría / Fuente  </t>
  </si>
  <si>
    <t>Ahorro / Inversión</t>
  </si>
  <si>
    <t xml:space="preserve">  Descripción / Detalle  </t>
  </si>
  <si>
    <t xml:space="preserve">  2. En el formulario, creá 4 preguntas EN ESTE ORDEN para que coincidan con las columnas de tu hoja Gastos: Fecha (tipo Fecha) · Descripción (Respuesta corta) · Categoría (Desplegable — pegá ahí las 24 categorías de Config!F6:F29) · Monto (Respuesta corta, numérica).</t>
  </si>
  <si>
    <t>CDC</t>
  </si>
  <si>
    <t xml:space="preserve">  Monto ($)  </t>
  </si>
  <si>
    <t xml:space="preserve">  3. Las respuestas van a caer en una hoja nueva llamada 'Respuestas de formulario 1'. Para que terminen en tu hoja Gastos real, lo más simple es: usar esa hoja de respuestas como estás, y en tu hoja Gastos agregar una columna auxiliar con IMPORTRANGE, o directamente mover manualmente el formulario para que registre en el rango de Gastos (Google Forms permite elegir destino solo la primera vez; si querés que caiga literal en tu hoja Gastos existente, algunas plantillas usan Apps Script — te lo puedo armar en otra conversación si querés ese nivel de automatización completa).</t>
  </si>
  <si>
    <t>Laboratorio SEVEDIC</t>
  </si>
  <si>
    <t xml:space="preserve">  Medio de Pago  </t>
  </si>
  <si>
    <t xml:space="preserve">  4. La columna 'Mes' se puede completar sola con una fórmula (=TEXTO(A5;"mmmm") en Sheets) en vez de pedirla en el formulario, para evitar errores de tipeo.</t>
  </si>
  <si>
    <t>Monotributo</t>
  </si>
  <si>
    <t>6. Categorías nuevas — referencia rápida</t>
  </si>
  <si>
    <t>Mayo</t>
  </si>
  <si>
    <t>Fijas (Necesidades): Expensas, Prepaga, Monotributo, Seguro Auto, Seguros Adicionales, Luz, Agua, Gas, Internet, Telefonía, Transporte/Auto, Supermercado, Mascota (Chancho), Gimnasio/CrossFit, Salud/Farmacia, Profesional, Impuestos y Costos TC.</t>
  </si>
  <si>
    <t>Marzo</t>
  </si>
  <si>
    <t>Variables (Deseos): Delivery, Salidas/Gastronomía, Compras Online/Impulsivas, Suscripciones, Educación/Cursos, Indumentaria, Otros Gastos.</t>
  </si>
  <si>
    <t>Nota: se fijó 50/30/20 (pedido original), no el 45/25/30 del otro archivo.</t>
  </si>
  <si>
    <t>7. Color por mes</t>
  </si>
  <si>
    <t>Cada fila de Ingresos y Gastos ahora se colorea sola según el mes (columna Mes), con formato condicional. No hace falta tocar nada: al cargar una fila nueva vía Google Forms, la fila hereda el color del mes automaticamente.</t>
  </si>
  <si>
    <t>8. Flujo de Caja Real (Dashboard, debajo del desglose por categoría)</t>
  </si>
  <si>
    <t>Otros ingresos variables</t>
  </si>
  <si>
    <t>Seguro Auto</t>
  </si>
  <si>
    <t>Panel nuevo y separado del análisis por categoría. Registra cuándo realmente pagaste el resumen de la tarjeta (no cuándo compraste), para saber cuánta plata real tuviste disponible cada mes. Las columnas C (Pago Resumen TC) y D (Otros gastos fuera de TC) son manuales — cargalas vos mismo con el monto real que debitaste ese mes. B4 no aplica acá: esta tabla siempre muestra los 12 meses juntos.</t>
  </si>
  <si>
    <t>Saldan</t>
  </si>
  <si>
    <t>CDC/Hospital</t>
  </si>
  <si>
    <t>Seguros Adicionales</t>
  </si>
  <si>
    <t>Junio</t>
  </si>
  <si>
    <t>Luz</t>
  </si>
  <si>
    <t>Agua</t>
  </si>
  <si>
    <t>Julio</t>
  </si>
  <si>
    <t>Gas</t>
  </si>
  <si>
    <t>Agosto</t>
  </si>
  <si>
    <t>Internet</t>
  </si>
  <si>
    <t>Septiembre</t>
  </si>
  <si>
    <t>Telefonía</t>
  </si>
  <si>
    <t>sueldo + aguinaldo</t>
  </si>
  <si>
    <t>Octubre</t>
  </si>
  <si>
    <t>Transporte / Auto</t>
  </si>
  <si>
    <t>Noviembre</t>
  </si>
  <si>
    <t>Supermercado</t>
  </si>
  <si>
    <t>Gasto</t>
  </si>
  <si>
    <t>Diciembre</t>
  </si>
  <si>
    <t>Otros Gastos</t>
  </si>
  <si>
    <t>Mascota (Chancho)</t>
  </si>
  <si>
    <t>Devolver plata Tomas</t>
  </si>
  <si>
    <t>Gimnasio / CrossFit</t>
  </si>
  <si>
    <t>Salud / Farmacia</t>
  </si>
  <si>
    <t>Residencia</t>
  </si>
  <si>
    <t>Sueldo + aguinaldo</t>
  </si>
  <si>
    <t>Profesional (Colegiatura)</t>
  </si>
  <si>
    <t>Impuestos y Costos TC</t>
  </si>
  <si>
    <t>Delivery</t>
  </si>
  <si>
    <t>Variable</t>
  </si>
  <si>
    <t>Salidas / Gastronomía</t>
  </si>
  <si>
    <t>Compras Online / Impulsivas</t>
  </si>
  <si>
    <t>Plan canje Samsung</t>
  </si>
  <si>
    <t>Suscripciones</t>
  </si>
  <si>
    <t>Educación / Cursos</t>
  </si>
  <si>
    <t>Indumentaria</t>
  </si>
  <si>
    <t>PAGO TC MIA</t>
  </si>
  <si>
    <t>Tarjeta</t>
  </si>
  <si>
    <t>Cargue todos sus gastos diarios de corrido. El 'Tipo' se asigna de manera automática.</t>
  </si>
  <si>
    <t>Descripción</t>
  </si>
  <si>
    <t>PAGO TC ROBY</t>
  </si>
  <si>
    <t>Medio de Pago</t>
  </si>
  <si>
    <t>Mercado Libre cuota 5/6</t>
  </si>
  <si>
    <t>PAGO TC ML</t>
  </si>
  <si>
    <t>Tarjeta de Crédito</t>
  </si>
  <si>
    <t>Municipalidad Córdoba cuota 3/3</t>
  </si>
  <si>
    <t>PAGO PRESTAMO ML</t>
  </si>
  <si>
    <t>Fravega cuota 3/3</t>
  </si>
  <si>
    <t>Criollos resi</t>
  </si>
  <si>
    <t>Efectivo/MP</t>
  </si>
  <si>
    <t>Samsung.com cuota 2/9</t>
  </si>
  <si>
    <t>Nafta 20k descuento MODO</t>
  </si>
  <si>
    <t>Samsung.com cuota 3/9</t>
  </si>
  <si>
    <t>Changomas con descuento 25k</t>
  </si>
  <si>
    <t>Termos Amazon</t>
  </si>
  <si>
    <t>Samsung.com cuota 4/9</t>
  </si>
  <si>
    <t>Cuotas de cargador, celular lela, auriculares</t>
  </si>
  <si>
    <t>Samsung.com cuota 5/9</t>
  </si>
  <si>
    <t>Delivery mio y uno que pidio el tomi sin querer</t>
  </si>
  <si>
    <t>Samsung.com cuota 6/9</t>
  </si>
  <si>
    <t>Samsung.com cuota 7/9</t>
  </si>
  <si>
    <t xml:space="preserve">Huevos </t>
  </si>
  <si>
    <t>Samsung.com cuota 8/9</t>
  </si>
  <si>
    <t>Psico</t>
  </si>
  <si>
    <t>Samsung.com cuota 9/9</t>
  </si>
  <si>
    <t>Cumple Cinthia</t>
  </si>
  <si>
    <t>Oncity.com cuota 2/9</t>
  </si>
  <si>
    <t>Pizzas a la Maca</t>
  </si>
  <si>
    <t>AFIP VEP</t>
  </si>
  <si>
    <t>Dietetica</t>
  </si>
  <si>
    <t>PedidosYa Mariachi Poet</t>
  </si>
  <si>
    <t>Prepaga Sancor</t>
  </si>
  <si>
    <t>Empanadas de la reina con la piki</t>
  </si>
  <si>
    <t>PedidosYa Mostaza Rafael</t>
  </si>
  <si>
    <t>Maderas Juan</t>
  </si>
  <si>
    <t>Uber</t>
  </si>
  <si>
    <t>Grosser Klaus (gastronomía)</t>
  </si>
  <si>
    <t>Ingreso</t>
  </si>
  <si>
    <t>LPavone SAS</t>
  </si>
  <si>
    <t>PedidosYa Papanato Teje</t>
  </si>
  <si>
    <t>Lomitos con la piki</t>
  </si>
  <si>
    <t>Devolución Samsung.com</t>
  </si>
  <si>
    <t>Delantal y pimentero La Cautiva</t>
  </si>
  <si>
    <t>EPEC (luz)</t>
  </si>
  <si>
    <t>Verdulería para comida con autorespeto</t>
  </si>
  <si>
    <t>Microsoft Store</t>
  </si>
  <si>
    <t xml:space="preserve">Cumple Lantu con las chicas </t>
  </si>
  <si>
    <t>Viaje Brasil con el Tomi en octubre</t>
  </si>
  <si>
    <t>Cuota colegio junio</t>
  </si>
  <si>
    <t>Merienda con el Tomi</t>
  </si>
  <si>
    <t>DASHBOARD ANUAL INTELIGENTE</t>
  </si>
  <si>
    <t>Airsat Julio 26</t>
  </si>
  <si>
    <t>Seleccione un mes para el análisis local. A la derecha verá el comportamiento histórico consolidado.</t>
  </si>
  <si>
    <t>Mes de Análisis:</t>
  </si>
  <si>
    <t>Microsoft Xbox</t>
  </si>
  <si>
    <t>Silent Hill 2 xbox</t>
  </si>
  <si>
    <t>HISTORIAL ANUAL CONSOLIDADO</t>
  </si>
  <si>
    <t>Matías Alvarez</t>
  </si>
  <si>
    <t>Ingresos ($)</t>
  </si>
  <si>
    <t>Gastos ($)</t>
  </si>
  <si>
    <t>Ahorro Real ($)</t>
  </si>
  <si>
    <t xml:space="preserve">Sancor </t>
  </si>
  <si>
    <t>Tasa de Ahorro</t>
  </si>
  <si>
    <t>INGRESOS DEL MES</t>
  </si>
  <si>
    <t>PedidosYa Decajón Recta</t>
  </si>
  <si>
    <t>GASTOS DEL MES</t>
  </si>
  <si>
    <t>SALDO NETO (AHORRO REAL)</t>
  </si>
  <si>
    <t>VIAJE RIO AMBOS</t>
  </si>
  <si>
    <t>BBVA Seguros</t>
  </si>
  <si>
    <t>Compra ML varias cositas 1</t>
  </si>
  <si>
    <t>Personal (celular)</t>
  </si>
  <si>
    <t>Compra ML cositas 2</t>
  </si>
  <si>
    <t xml:space="preserve">Verdulería </t>
  </si>
  <si>
    <t>PedidosYa Grido Helados</t>
  </si>
  <si>
    <t>Cafe epidemio</t>
  </si>
  <si>
    <t>Bonificación Uber</t>
  </si>
  <si>
    <t>PedidosYa Walu Alta Córdoba</t>
  </si>
  <si>
    <t>comida en la jairala con pelicula</t>
  </si>
  <si>
    <t>Peaje Caminos de las Sierras</t>
  </si>
  <si>
    <t>trezzeri el día que me saqué sangre</t>
  </si>
  <si>
    <t>La Isla Vinos (gastronomía)</t>
  </si>
  <si>
    <t>panadería epidemio</t>
  </si>
  <si>
    <t>Aguas Cordobesas</t>
  </si>
  <si>
    <t>Psico Cami</t>
  </si>
  <si>
    <t>Cumplimiento del Plan Presupuestario</t>
  </si>
  <si>
    <t>Distribuidora de Gas</t>
  </si>
  <si>
    <t>Cumple Fede</t>
  </si>
  <si>
    <t>Línea Presupuestaria</t>
  </si>
  <si>
    <t>% Planificado</t>
  </si>
  <si>
    <t>Monto Estimado ($)</t>
  </si>
  <si>
    <t xml:space="preserve">pago TC MP </t>
  </si>
  <si>
    <t>Gasto/Ahorro Real ($)</t>
  </si>
  <si>
    <t>Diferencia ($)</t>
  </si>
  <si>
    <t>Estado</t>
  </si>
  <si>
    <t>Cuatro Quesos (gastronomía)</t>
  </si>
  <si>
    <t xml:space="preserve">Gastos fijos, cuotas de: ONCITY, PERSONAL, SAMSUNG y GOOGLE. </t>
  </si>
  <si>
    <t>Quality Eventos</t>
  </si>
  <si>
    <t>UBER EATS con Lucas amigo del TOMI</t>
  </si>
  <si>
    <t>desayuno en MC congreso infecto</t>
  </si>
  <si>
    <t>Tadicor SA</t>
  </si>
  <si>
    <t>PAGO TARJETA MACRO (parte de pesos sin impuestos y los dolares que debía con stop debit)</t>
  </si>
  <si>
    <t>Arreglo grande suspensione aceite y demás pero en 6 cuotas</t>
  </si>
  <si>
    <t>Colegio Médico Veterinario cuota 1/3</t>
  </si>
  <si>
    <t>Impuesto de sellos + IVA + IIBB + RG5617 (costos TC)</t>
  </si>
  <si>
    <t>Mercado Libre cuota 6/6</t>
  </si>
  <si>
    <t>Oncity.com cuota 3/9</t>
  </si>
  <si>
    <t>Colegio Médico Veterinario cuota 2/3</t>
  </si>
  <si>
    <t>Desglose por Categoría de Gastos</t>
  </si>
  <si>
    <t>Mercado Libre</t>
  </si>
  <si>
    <t>Total Gastado ($)</t>
  </si>
  <si>
    <t>Havanna (gastronomía)</t>
  </si>
  <si>
    <t>Porcentaje del total (%)</t>
  </si>
  <si>
    <t>Total Anual:</t>
  </si>
  <si>
    <t>Estancia Cerro Blanco</t>
  </si>
  <si>
    <t>PedidosYa Maissa Córdoba</t>
  </si>
  <si>
    <t>NaiInternational</t>
  </si>
  <si>
    <t>Heladoc SAS</t>
  </si>
  <si>
    <t>Personal cuota equipo 1/15</t>
  </si>
  <si>
    <t>Personal (celular, factura)</t>
  </si>
  <si>
    <t>Fravega cuota 1/6</t>
  </si>
  <si>
    <t>Fravega cuota 2/6</t>
  </si>
  <si>
    <t>Fravega cuota 3/6</t>
  </si>
  <si>
    <t>Fravega cuota 4/6</t>
  </si>
  <si>
    <t>Fravega cuota 5/6</t>
  </si>
  <si>
    <t>Total Consumos:</t>
  </si>
  <si>
    <t>Fravega cuota 6/6</t>
  </si>
  <si>
    <t>FLUJO DE CAJA REAL</t>
  </si>
  <si>
    <t>Esto no reemplaza el análisis por categoría de arriba (que registra gastos el día de la compra, para ver hábitos reales). Este panel responde otra pregunta: cuánta plata real tuviste disponible cada mes, incluyendo cuándo pagaste efectivamente el resumen de la tarjeta.</t>
  </si>
  <si>
    <t>Columnas C y D son manuales (celda azul): cargá el total que efectivamente pagaste de resumen de tarjeta ese mes, y cualquier otro gasto fuera de la tarjeta (efectivo, débito directo de servicios, etc.).</t>
  </si>
  <si>
    <t>Ingresos del mes ($)</t>
  </si>
  <si>
    <t>Pago Resumen TC ($)</t>
  </si>
  <si>
    <t>Otros gastos fuera de TC ($)</t>
  </si>
  <si>
    <t>Saldo de Caja Real ($)</t>
  </si>
  <si>
    <t>Rentas Córdoba</t>
  </si>
  <si>
    <t>Ciudad Matafue</t>
  </si>
  <si>
    <t>Devolución Fravega</t>
  </si>
  <si>
    <t>Suscripciones digitales USD (Google/Wikiloc, ref. dólar tarjeta)</t>
  </si>
  <si>
    <t>Oncity.com cuota 4/9</t>
  </si>
  <si>
    <t>Colegio Médico Veterinario cuota 3/3</t>
  </si>
  <si>
    <t>Personal cuota equipo 2/15</t>
  </si>
  <si>
    <t>Opusinsp</t>
  </si>
  <si>
    <t>Hiper Changomas (supermercado)</t>
  </si>
  <si>
    <t>Futura Panadería (gastronomía)</t>
  </si>
  <si>
    <t>Subeviajes</t>
  </si>
  <si>
    <t>SamShop.com cuota 1/12</t>
  </si>
  <si>
    <t>PedidosYa Punto 33 Colón</t>
  </si>
  <si>
    <t>Sodimac Córdoba</t>
  </si>
  <si>
    <t>La Celeste (gastronomía)</t>
  </si>
  <si>
    <t>PedidosYa Lomitos 2x1</t>
  </si>
  <si>
    <t>Ecogas (gas)</t>
  </si>
  <si>
    <t>José Fortunato Levy</t>
  </si>
  <si>
    <t>Kaapeh (gastronomía)</t>
  </si>
  <si>
    <t>SamShop.com</t>
  </si>
  <si>
    <t>Oeste Tecnología</t>
  </si>
  <si>
    <t>Airsat</t>
  </si>
  <si>
    <t>Sánchez Antoniolli</t>
  </si>
  <si>
    <t>Impuesto de sellos + IVA + IIBB + RG5617 + intereses (costos TC)</t>
  </si>
  <si>
    <t>Suscripciones digitales USD (Google/Steam, ref. dólar tarjeta)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</si>
</sst>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\$#,##0.00"/>
    <numFmt numFmtId="166" formatCode="m/d/yyyy h:mm:ss"/>
    <numFmt numFmtId="167" formatCode="dd/mm/yyyy"/>
    <numFmt numFmtId="168" formatCode="0.0%"/>
  </numFmts>
  <fonts count="24">
    <font>
      <sz val="11.0"/>
      <color theme="1"/>
      <name val="Calibri"/>
      <scheme val="minor"/>
    </font>
    <font>
      <b/>
      <sz val="16.0"/>
      <color rgb="FF1E293B"/>
      <name val="Quattrocento Sans"/>
    </font>
    <font>
      <b/>
      <sz val="14.0"/>
      <color rgb="FFFFFFFF"/>
      <name val="Quattrocento Sans"/>
    </font>
    <font>
      <i/>
      <sz val="11.0"/>
      <color rgb="FF475569"/>
      <name val="Quattrocento Sans"/>
    </font>
    <font>
      <b/>
      <sz val="12.0"/>
      <color rgb="FF1E293B"/>
      <name val="Quattrocento Sans"/>
    </font>
    <font>
      <sz val="10.0"/>
      <color theme="1"/>
      <name val="Quattrocento Sans"/>
    </font>
    <font>
      <b/>
      <sz val="11.0"/>
      <color rgb="FFFFFFFF"/>
      <name val="Quattrocento Sans"/>
    </font>
    <font>
      <sz val="10.0"/>
      <color rgb="FF000000"/>
      <name val="Quattrocento Sans"/>
    </font>
    <font>
      <i/>
      <sz val="10.0"/>
      <color rgb="FFC00000"/>
      <name val="Quattrocento Sans"/>
    </font>
    <font>
      <color theme="1"/>
      <name val="Calibri"/>
      <scheme val="minor"/>
    </font>
    <font>
      <i/>
      <sz val="8.0"/>
      <color rgb="FFC00000"/>
      <name val="Quattrocento Sans"/>
    </font>
    <font>
      <sz val="11.0"/>
      <color theme="1"/>
      <name val="Calibri"/>
    </font>
    <font>
      <b/>
      <sz val="11.0"/>
      <color rgb="FF000000"/>
      <name val="Quattrocento Sans"/>
    </font>
    <font>
      <b/>
      <sz val="11.0"/>
      <color rgb="FF1E293B"/>
      <name val="Quattrocento Sans"/>
    </font>
    <font>
      <b/>
      <sz val="9.0"/>
      <color rgb="FF065F46"/>
      <name val="Quattrocento Sans"/>
    </font>
    <font/>
    <font>
      <b/>
      <sz val="9.0"/>
      <color rgb="FF92400E"/>
      <name val="Quattrocento Sans"/>
    </font>
    <font>
      <b/>
      <sz val="9.0"/>
      <color rgb="FF1E40AF"/>
      <name val="Quattrocento Sans"/>
    </font>
    <font>
      <b/>
      <sz val="16.0"/>
      <color rgb="FF047857"/>
      <name val="Quattrocento Sans"/>
    </font>
    <font>
      <b/>
      <sz val="16.0"/>
      <color rgb="FFB45309"/>
      <name val="Quattrocento Sans"/>
    </font>
    <font>
      <b/>
      <sz val="16.0"/>
      <color rgb="FF1D4ED8"/>
      <name val="Quattrocento Sans"/>
    </font>
    <font>
      <b/>
      <sz val="14.0"/>
      <color rgb="FF1E293B"/>
      <name val="Quattrocento Sans"/>
    </font>
    <font>
      <i/>
      <sz val="9.0"/>
      <color rgb="FF475569"/>
      <name val="Quattrocento Sans"/>
    </font>
    <font>
      <sz val="10.0"/>
      <color rgb="FF0000FF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9">
    <border/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top/>
      <bottom/>
    </border>
    <border>
      <right/>
      <top/>
      <bottom/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</border>
    <border>
      <left style="thin">
        <color rgb="FFCBD5E1"/>
      </left>
      <right style="thin">
        <color rgb="FFCBD5E1"/>
      </right>
      <top style="thin">
        <color rgb="FFCBD5E1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1" fillId="2" fontId="6" numFmtId="0" xfId="0" applyBorder="1" applyFont="1"/>
    <xf borderId="1" fillId="2" fontId="6" numFmtId="0" xfId="0" applyAlignment="1" applyBorder="1" applyFont="1">
      <alignment horizontal="center"/>
    </xf>
    <xf borderId="2" fillId="0" fontId="7" numFmtId="0" xfId="0" applyBorder="1" applyFont="1"/>
    <xf borderId="1" fillId="2" fontId="6" numFmtId="0" xfId="0" applyAlignment="1" applyBorder="1" applyFont="1">
      <alignment horizontal="left"/>
    </xf>
    <xf borderId="2" fillId="0" fontId="7" numFmtId="9" xfId="0" applyAlignment="1" applyBorder="1" applyFont="1" applyNumberFormat="1">
      <alignment horizontal="right"/>
    </xf>
    <xf borderId="0" fillId="0" fontId="8" numFmtId="0" xfId="0" applyAlignment="1" applyFont="1">
      <alignment shrinkToFit="0" vertical="top" wrapText="1"/>
    </xf>
    <xf borderId="2" fillId="0" fontId="7" numFmtId="164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left" readingOrder="0" shrinkToFit="0" vertical="center" wrapText="0"/>
    </xf>
    <xf borderId="2" fillId="0" fontId="7" numFmtId="165" xfId="0" applyAlignment="1" applyBorder="1" applyFont="1" applyNumberFormat="1">
      <alignment horizontal="right"/>
    </xf>
    <xf borderId="0" fillId="0" fontId="9" numFmtId="166" xfId="0" applyAlignment="1" applyFont="1" applyNumberFormat="1">
      <alignment readingOrder="0" shrinkToFit="0" vertical="center" wrapText="0"/>
    </xf>
    <xf borderId="0" fillId="0" fontId="10" numFmtId="0" xfId="0" applyFont="1"/>
    <xf borderId="0" fillId="0" fontId="9" numFmtId="1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6" xfId="0" applyAlignment="1" applyFont="1" applyNumberFormat="1">
      <alignment readingOrder="0" shrinkToFit="0" vertical="center" wrapText="0"/>
    </xf>
    <xf borderId="0" fillId="0" fontId="9" numFmtId="14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7" numFmtId="0" xfId="0" applyFont="1"/>
    <xf borderId="2" fillId="0" fontId="7" numFmtId="164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readingOrder="0"/>
    </xf>
    <xf borderId="2" fillId="0" fontId="7" numFmtId="165" xfId="0" applyAlignment="1" applyBorder="1" applyFont="1" applyNumberFormat="1">
      <alignment horizontal="right" readingOrder="0"/>
    </xf>
    <xf borderId="0" fillId="0" fontId="9" numFmtId="167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2" fillId="0" fontId="11" numFmtId="0" xfId="0" applyBorder="1" applyFont="1"/>
    <xf borderId="0" fillId="0" fontId="12" numFmtId="0" xfId="0" applyFont="1"/>
    <xf borderId="2" fillId="3" fontId="13" numFmtId="0" xfId="0" applyAlignment="1" applyBorder="1" applyFill="1" applyFont="1">
      <alignment horizontal="center" readingOrder="0"/>
    </xf>
    <xf borderId="1" fillId="2" fontId="6" numFmtId="0" xfId="0" applyAlignment="1" applyBorder="1" applyFont="1">
      <alignment horizontal="right"/>
    </xf>
    <xf borderId="3" fillId="3" fontId="14" numFmtId="0" xfId="0" applyAlignment="1" applyBorder="1" applyFont="1">
      <alignment horizontal="center" vertical="center"/>
    </xf>
    <xf borderId="4" fillId="0" fontId="15" numFmtId="0" xfId="0" applyBorder="1" applyFont="1"/>
    <xf borderId="3" fillId="4" fontId="16" numFmtId="0" xfId="0" applyAlignment="1" applyBorder="1" applyFill="1" applyFont="1">
      <alignment horizontal="center" vertical="center"/>
    </xf>
    <xf borderId="3" fillId="5" fontId="17" numFmtId="0" xfId="0" applyAlignment="1" applyBorder="1" applyFill="1" applyFont="1">
      <alignment horizontal="center" vertical="center"/>
    </xf>
    <xf borderId="2" fillId="0" fontId="12" numFmtId="0" xfId="0" applyAlignment="1" applyBorder="1" applyFont="1">
      <alignment horizontal="center"/>
    </xf>
    <xf borderId="2" fillId="0" fontId="7" numFmtId="9" xfId="0" applyAlignment="1" applyBorder="1" applyFont="1" applyNumberFormat="1">
      <alignment horizontal="center"/>
    </xf>
    <xf borderId="3" fillId="3" fontId="18" numFmtId="165" xfId="0" applyAlignment="1" applyBorder="1" applyFont="1" applyNumberFormat="1">
      <alignment horizontal="center" vertical="center"/>
    </xf>
    <xf borderId="3" fillId="4" fontId="19" numFmtId="165" xfId="0" applyAlignment="1" applyBorder="1" applyFont="1" applyNumberFormat="1">
      <alignment horizontal="center" vertical="center"/>
    </xf>
    <xf borderId="5" fillId="0" fontId="11" numFmtId="0" xfId="0" applyBorder="1" applyFont="1"/>
    <xf borderId="6" fillId="5" fontId="20" numFmtId="165" xfId="0" applyAlignment="1" applyBorder="1" applyFont="1" applyNumberFormat="1">
      <alignment horizontal="center" vertical="center"/>
    </xf>
    <xf borderId="5" fillId="0" fontId="15" numFmtId="0" xfId="0" applyBorder="1" applyFont="1"/>
    <xf borderId="7" fillId="0" fontId="12" numFmtId="0" xfId="0" applyAlignment="1" applyBorder="1" applyFont="1">
      <alignment horizontal="center"/>
    </xf>
    <xf borderId="7" fillId="0" fontId="12" numFmtId="165" xfId="0" applyAlignment="1" applyBorder="1" applyFont="1" applyNumberFormat="1">
      <alignment horizontal="right"/>
    </xf>
    <xf borderId="7" fillId="0" fontId="12" numFmtId="9" xfId="0" applyAlignment="1" applyBorder="1" applyFont="1" applyNumberFormat="1">
      <alignment horizontal="center"/>
    </xf>
    <xf borderId="2" fillId="0" fontId="7" numFmtId="168" xfId="0" applyAlignment="1" applyBorder="1" applyFont="1" applyNumberFormat="1">
      <alignment horizontal="right"/>
    </xf>
    <xf borderId="7" fillId="0" fontId="7" numFmtId="0" xfId="0" applyBorder="1" applyFont="1"/>
    <xf borderId="7" fillId="0" fontId="7" numFmtId="165" xfId="0" applyAlignment="1" applyBorder="1" applyFont="1" applyNumberFormat="1">
      <alignment horizontal="right"/>
    </xf>
    <xf borderId="0" fillId="0" fontId="7" numFmtId="165" xfId="0" applyFont="1" applyNumberFormat="1"/>
    <xf borderId="0" fillId="0" fontId="7" numFmtId="168" xfId="0" applyFont="1" applyNumberFormat="1"/>
    <xf borderId="0" fillId="0" fontId="21" numFmtId="0" xfId="0" applyFont="1"/>
    <xf borderId="0" fillId="0" fontId="22" numFmtId="0" xfId="0" applyAlignment="1" applyFont="1">
      <alignment shrinkToFit="0" vertical="center" wrapText="1"/>
    </xf>
    <xf borderId="0" fillId="0" fontId="13" numFmtId="0" xfId="0" applyFont="1"/>
    <xf borderId="0" fillId="0" fontId="5" numFmtId="0" xfId="0" applyFont="1"/>
    <xf borderId="0" fillId="0" fontId="5" numFmtId="165" xfId="0" applyFont="1" applyNumberFormat="1"/>
    <xf borderId="0" fillId="0" fontId="23" numFmtId="165" xfId="0" applyFont="1" applyNumberFormat="1"/>
    <xf borderId="1" fillId="3" fontId="13" numFmtId="165" xfId="0" applyBorder="1" applyFont="1" applyNumberFormat="1"/>
    <xf borderId="8" fillId="0" fontId="7" numFmtId="164" xfId="0" applyAlignment="1" applyBorder="1" applyFont="1" applyNumberFormat="1">
      <alignment horizontal="center"/>
    </xf>
    <xf borderId="8" fillId="0" fontId="7" numFmtId="0" xfId="0" applyAlignment="1" applyBorder="1" applyFont="1">
      <alignment horizontal="center"/>
    </xf>
    <xf borderId="8" fillId="0" fontId="7" numFmtId="0" xfId="0" applyBorder="1" applyFont="1"/>
    <xf borderId="8" fillId="0" fontId="7" numFmtId="165" xfId="0" applyAlignment="1" applyBorder="1" applyFont="1" applyNumberFormat="1">
      <alignment horizontal="right"/>
    </xf>
    <xf borderId="0" fillId="0" fontId="7" numFmtId="167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right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4DFEC"/>
          <bgColor rgb="FFE4DFEC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E5CC"/>
          <bgColor rgb="FFFFE5CC"/>
        </patternFill>
      </fill>
      <border/>
    </dxf>
    <dxf>
      <font/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FADBD8"/>
          <bgColor rgb="FFFADBD8"/>
        </patternFill>
      </fill>
      <border/>
    </dxf>
    <dxf>
      <font/>
      <fill>
        <patternFill patternType="solid">
          <fgColor rgb="FFD6EAF8"/>
          <bgColor rgb="FFD6EAF8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Evolución Mensual (Ingresos vs Gastos vs Ahorro Real)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Ingresos ($)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Dashboard!$J$6:$J$17</c:f>
            </c:strRef>
          </c:cat>
          <c:val>
            <c:numRef>
              <c:f>Dashboard!$K$6:$K$17</c:f>
              <c:numCache/>
            </c:numRef>
          </c:val>
          <c:smooth val="0"/>
        </c:ser>
        <c:ser>
          <c:idx val="1"/>
          <c:order val="1"/>
          <c:tx>
            <c:v>Gastos ($)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Dashboard!$J$6:$J$17</c:f>
            </c:strRef>
          </c:cat>
          <c:val>
            <c:numRef>
              <c:f>Dashboard!$L$6:$L$17</c:f>
              <c:numCache/>
            </c:numRef>
          </c:val>
          <c:smooth val="0"/>
        </c:ser>
        <c:ser>
          <c:idx val="2"/>
          <c:order val="2"/>
          <c:tx>
            <c:v>Ahorro Real ($)</c:v>
          </c:tx>
          <c:spPr>
            <a:ln cmpd="sng" w="1905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Dashboard!$J$6:$J$17</c:f>
            </c:strRef>
          </c:cat>
          <c:val>
            <c:numRef>
              <c:f>Dashboard!$M$6:$M$17</c:f>
              <c:numCache/>
            </c:numRef>
          </c:val>
          <c:smooth val="0"/>
        </c:ser>
        <c:axId val="1615109290"/>
        <c:axId val="1656489533"/>
      </c:lineChart>
      <c:catAx>
        <c:axId val="1615109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6489533"/>
      </c:catAx>
      <c:valAx>
        <c:axId val="1656489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1510929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% Tasa de Ahorro Real Mensual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Tasa de Ahorro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Dashboard!$J$6:$J$17</c:f>
            </c:strRef>
          </c:cat>
          <c:val>
            <c:numRef>
              <c:f>Dashboard!$N$6:$N$17</c:f>
              <c:numCache/>
            </c:numRef>
          </c:val>
        </c:ser>
        <c:axId val="1767526981"/>
        <c:axId val="301298374"/>
      </c:barChart>
      <c:catAx>
        <c:axId val="1767526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Meses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1298374"/>
      </c:catAx>
      <c:valAx>
        <c:axId val="301298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Porcentaje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67526981"/>
      </c:valAx>
    </c:plotArea>
    <c:plotVisOnly val="1"/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20</xdr:row>
      <xdr:rowOff>0</xdr:rowOff>
    </xdr:from>
    <xdr:ext cx="61150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31</xdr:row>
      <xdr:rowOff>0</xdr:rowOff>
    </xdr:from>
    <xdr:ext cx="6115050" cy="3952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1" displayName="Form_Responses" name="Form_Responses" id="1">
  <autoFilter ref="$A$1:$H$151"/>
  <tableColumns count="8">
    <tableColumn name="Marca temporal" id="1"/>
    <tableColumn name="Fecha " id="2"/>
    <tableColumn name="Mes de Análisis" id="3"/>
    <tableColumn name="Tipo de Registro " id="4"/>
    <tableColumn name="  Categoría / Fuente  " id="5"/>
    <tableColumn name="  Descripción / Detalle  " id="6"/>
    <tableColumn name="  Monto ($)  " id="7"/>
    <tableColumn name="  Medio de Pago  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1.57"/>
    <col customWidth="1" min="5" max="5" width="25.14"/>
    <col customWidth="1" min="6" max="6" width="27.14"/>
    <col customWidth="1" min="7" max="7" width="21.57"/>
    <col customWidth="1" min="8" max="8" width="21.86"/>
    <col customWidth="1" min="9" max="14" width="21.57"/>
  </cols>
  <sheetData>
    <row r="1" ht="22.5" customHeight="1">
      <c r="A1" s="15" t="s">
        <v>30</v>
      </c>
      <c r="B1" s="15" t="s">
        <v>42</v>
      </c>
      <c r="C1" s="15" t="s">
        <v>45</v>
      </c>
      <c r="D1" s="15" t="s">
        <v>48</v>
      </c>
      <c r="E1" s="15" t="s">
        <v>51</v>
      </c>
      <c r="F1" s="15" t="s">
        <v>53</v>
      </c>
      <c r="G1" s="15" t="s">
        <v>56</v>
      </c>
      <c r="H1" s="15" t="s">
        <v>59</v>
      </c>
    </row>
    <row r="2" ht="22.5" customHeight="1">
      <c r="A2" s="17"/>
      <c r="B2" s="19"/>
      <c r="C2" s="20"/>
      <c r="D2" s="20"/>
      <c r="E2" s="20"/>
      <c r="F2" s="20"/>
      <c r="G2" s="20"/>
      <c r="H2" s="20" t="str">
        <f>IF(D2="Gasto", IFERROR(VLOOKUP(E2, Config!$F$6:$G$29, 2, FALSE), ""), "")</f>
        <v/>
      </c>
    </row>
    <row r="3" ht="22.5" customHeight="1">
      <c r="A3" s="21">
        <v>46218.83764268519</v>
      </c>
      <c r="B3" s="22">
        <v>46156.0</v>
      </c>
      <c r="C3" s="23" t="s">
        <v>63</v>
      </c>
      <c r="D3" s="23" t="s">
        <v>91</v>
      </c>
      <c r="E3" s="23" t="s">
        <v>93</v>
      </c>
      <c r="F3" s="23" t="s">
        <v>95</v>
      </c>
      <c r="G3" s="23">
        <v>1000000.0</v>
      </c>
      <c r="H3" s="20" t="str">
        <f>IF(D3="Gasto", IFERROR(VLOOKUP(E3, Config!$F$6:$G$29, 2, FALSE), ""), "")</f>
        <v>Variable</v>
      </c>
    </row>
    <row r="4" ht="22.5" customHeight="1">
      <c r="A4" s="21">
        <v>46218.838971006946</v>
      </c>
      <c r="B4" s="22">
        <v>46209.0</v>
      </c>
      <c r="C4" s="23" t="s">
        <v>80</v>
      </c>
      <c r="D4" s="23" t="s">
        <v>91</v>
      </c>
      <c r="E4" s="23" t="s">
        <v>93</v>
      </c>
      <c r="F4" s="23" t="s">
        <v>110</v>
      </c>
      <c r="G4" s="23">
        <v>1890000.0</v>
      </c>
      <c r="H4" s="20" t="str">
        <f>IF(D4="Gasto", IFERROR(VLOOKUP(E4, Config!$F$6:$G$29, 2, FALSE), ""), "")</f>
        <v>Variable</v>
      </c>
    </row>
    <row r="5" ht="22.5" customHeight="1">
      <c r="A5" s="21">
        <v>46218.839451736116</v>
      </c>
      <c r="B5" s="22">
        <v>46209.0</v>
      </c>
      <c r="C5" s="23" t="s">
        <v>80</v>
      </c>
      <c r="D5" s="23" t="s">
        <v>91</v>
      </c>
      <c r="E5" s="23" t="s">
        <v>93</v>
      </c>
      <c r="F5" s="23" t="s">
        <v>114</v>
      </c>
      <c r="G5" s="23">
        <v>181000.0</v>
      </c>
      <c r="H5" s="20" t="str">
        <f>IF(D5="Gasto", IFERROR(VLOOKUP(E5, Config!$F$6:$G$29, 2, FALSE), ""), "")</f>
        <v>Variable</v>
      </c>
    </row>
    <row r="6" ht="22.5" customHeight="1">
      <c r="A6" s="21">
        <v>46218.84030802084</v>
      </c>
      <c r="B6" s="22">
        <v>46209.0</v>
      </c>
      <c r="C6" s="23" t="s">
        <v>80</v>
      </c>
      <c r="D6" s="23" t="s">
        <v>91</v>
      </c>
      <c r="E6" s="23" t="s">
        <v>93</v>
      </c>
      <c r="F6" s="23" t="s">
        <v>117</v>
      </c>
      <c r="G6" s="23">
        <v>196000.0</v>
      </c>
      <c r="H6" s="20" t="str">
        <f>IF(D6="Gasto", IFERROR(VLOOKUP(E6, Config!$F$6:$G$29, 2, FALSE), ""), "")</f>
        <v>Variable</v>
      </c>
    </row>
    <row r="7" ht="22.5" customHeight="1">
      <c r="A7" s="21">
        <v>46218.84083583333</v>
      </c>
      <c r="B7" s="22">
        <v>46216.0</v>
      </c>
      <c r="C7" s="23" t="s">
        <v>80</v>
      </c>
      <c r="D7" s="23" t="s">
        <v>91</v>
      </c>
      <c r="E7" s="23" t="s">
        <v>93</v>
      </c>
      <c r="F7" s="23" t="s">
        <v>120</v>
      </c>
      <c r="G7" s="23">
        <v>167619.0</v>
      </c>
      <c r="H7" s="20" t="str">
        <f>IF(D7="Gasto", IFERROR(VLOOKUP(E7, Config!$F$6:$G$29, 2, FALSE), ""), "")</f>
        <v>Variable</v>
      </c>
    </row>
    <row r="8" ht="22.5" customHeight="1">
      <c r="A8" s="21">
        <v>46219.25168581019</v>
      </c>
      <c r="B8" s="22">
        <v>46219.0</v>
      </c>
      <c r="C8" s="23" t="s">
        <v>80</v>
      </c>
      <c r="D8" s="23" t="s">
        <v>91</v>
      </c>
      <c r="E8" s="23" t="s">
        <v>93</v>
      </c>
      <c r="F8" s="23" t="s">
        <v>122</v>
      </c>
      <c r="G8" s="23">
        <v>3000.0</v>
      </c>
      <c r="H8" s="23" t="s">
        <v>123</v>
      </c>
    </row>
    <row r="9" ht="22.5" customHeight="1">
      <c r="A9" s="21">
        <v>46219.25306195602</v>
      </c>
      <c r="B9" s="22">
        <v>46218.0</v>
      </c>
      <c r="C9" s="23" t="s">
        <v>80</v>
      </c>
      <c r="D9" s="23" t="s">
        <v>91</v>
      </c>
      <c r="E9" s="23" t="s">
        <v>88</v>
      </c>
      <c r="F9" s="23" t="s">
        <v>125</v>
      </c>
      <c r="G9" s="23">
        <v>55000.0</v>
      </c>
      <c r="H9" s="23" t="s">
        <v>118</v>
      </c>
    </row>
    <row r="10" ht="22.5" customHeight="1">
      <c r="A10" s="21">
        <v>46219.274328680556</v>
      </c>
      <c r="B10" s="22">
        <v>46219.0</v>
      </c>
      <c r="C10" s="23" t="s">
        <v>80</v>
      </c>
      <c r="D10" s="23" t="s">
        <v>91</v>
      </c>
      <c r="E10" s="23" t="s">
        <v>90</v>
      </c>
      <c r="F10" s="23" t="s">
        <v>127</v>
      </c>
      <c r="G10" s="23">
        <v>135000.0</v>
      </c>
      <c r="H10" s="23" t="s">
        <v>118</v>
      </c>
    </row>
    <row r="11" ht="22.5" customHeight="1">
      <c r="A11" s="21">
        <v>46219.27713120371</v>
      </c>
      <c r="B11" s="22">
        <v>46219.0</v>
      </c>
      <c r="C11" s="23" t="s">
        <v>80</v>
      </c>
      <c r="D11" s="23" t="s">
        <v>91</v>
      </c>
      <c r="E11" s="23" t="s">
        <v>105</v>
      </c>
      <c r="F11" s="23" t="s">
        <v>128</v>
      </c>
      <c r="G11" s="23">
        <v>167500.0</v>
      </c>
      <c r="H11" s="23" t="s">
        <v>118</v>
      </c>
    </row>
    <row r="12" ht="22.5" customHeight="1">
      <c r="A12" s="21">
        <v>46219.27835930555</v>
      </c>
      <c r="B12" s="22">
        <v>46219.0</v>
      </c>
      <c r="C12" s="23" t="s">
        <v>80</v>
      </c>
      <c r="D12" s="23" t="s">
        <v>91</v>
      </c>
      <c r="E12" s="23" t="s">
        <v>105</v>
      </c>
      <c r="F12" s="23" t="s">
        <v>130</v>
      </c>
      <c r="G12" s="23">
        <v>30500.0</v>
      </c>
      <c r="H12" s="23" t="s">
        <v>118</v>
      </c>
    </row>
    <row r="13" ht="22.5" customHeight="1">
      <c r="A13" s="21">
        <v>46219.28046692129</v>
      </c>
      <c r="B13" s="22">
        <v>46219.0</v>
      </c>
      <c r="C13" s="23" t="s">
        <v>80</v>
      </c>
      <c r="D13" s="23" t="s">
        <v>91</v>
      </c>
      <c r="E13" s="23" t="s">
        <v>102</v>
      </c>
      <c r="F13" s="23" t="s">
        <v>132</v>
      </c>
      <c r="G13" s="23">
        <v>43000.0</v>
      </c>
      <c r="H13" s="23" t="s">
        <v>118</v>
      </c>
    </row>
    <row r="14" ht="22.5" customHeight="1">
      <c r="A14" s="21">
        <v>46219.36530851852</v>
      </c>
      <c r="B14" s="22">
        <v>46218.0</v>
      </c>
      <c r="C14" s="23" t="s">
        <v>80</v>
      </c>
      <c r="D14" s="23" t="s">
        <v>91</v>
      </c>
      <c r="E14" s="23" t="s">
        <v>104</v>
      </c>
      <c r="F14" s="23" t="s">
        <v>135</v>
      </c>
      <c r="G14" s="23">
        <v>12000.0</v>
      </c>
      <c r="H14" s="23" t="s">
        <v>123</v>
      </c>
    </row>
    <row r="15" ht="22.5" customHeight="1">
      <c r="A15" s="21">
        <v>46219.36650574074</v>
      </c>
      <c r="B15" s="22">
        <v>46218.0</v>
      </c>
      <c r="C15" s="23" t="s">
        <v>80</v>
      </c>
      <c r="D15" s="23" t="s">
        <v>91</v>
      </c>
      <c r="E15" s="23" t="s">
        <v>93</v>
      </c>
      <c r="F15" s="23" t="s">
        <v>137</v>
      </c>
      <c r="G15" s="23">
        <v>37000.0</v>
      </c>
      <c r="H15" s="23" t="s">
        <v>123</v>
      </c>
    </row>
    <row r="16" ht="22.5" customHeight="1">
      <c r="A16" s="21">
        <v>46219.36694896991</v>
      </c>
      <c r="B16" s="22">
        <v>46218.0</v>
      </c>
      <c r="C16" s="23" t="s">
        <v>80</v>
      </c>
      <c r="D16" s="23" t="s">
        <v>91</v>
      </c>
      <c r="E16" s="23" t="s">
        <v>93</v>
      </c>
      <c r="F16" s="23" t="s">
        <v>139</v>
      </c>
      <c r="G16" s="23">
        <v>10000.0</v>
      </c>
      <c r="H16" s="23" t="s">
        <v>123</v>
      </c>
    </row>
    <row r="17" ht="22.5" customHeight="1">
      <c r="A17" s="21">
        <v>46219.36727574074</v>
      </c>
      <c r="B17" s="22">
        <v>46215.0</v>
      </c>
      <c r="C17" s="23" t="s">
        <v>80</v>
      </c>
      <c r="D17" s="23" t="s">
        <v>91</v>
      </c>
      <c r="E17" s="23" t="s">
        <v>104</v>
      </c>
      <c r="F17" s="23" t="s">
        <v>141</v>
      </c>
      <c r="G17" s="23">
        <v>44000.0</v>
      </c>
      <c r="H17" s="23" t="s">
        <v>123</v>
      </c>
    </row>
    <row r="18" ht="22.5" customHeight="1">
      <c r="A18" s="21">
        <v>46219.36843105324</v>
      </c>
      <c r="B18" s="22">
        <v>46212.0</v>
      </c>
      <c r="C18" s="23" t="s">
        <v>80</v>
      </c>
      <c r="D18" s="23" t="s">
        <v>91</v>
      </c>
      <c r="E18" s="23" t="s">
        <v>104</v>
      </c>
      <c r="F18" s="23" t="s">
        <v>143</v>
      </c>
      <c r="G18" s="23">
        <v>31000.0</v>
      </c>
      <c r="H18" s="23" t="s">
        <v>123</v>
      </c>
    </row>
    <row r="19" ht="22.5" customHeight="1">
      <c r="A19" s="21">
        <v>46219.36919936343</v>
      </c>
      <c r="B19" s="22">
        <v>46213.0</v>
      </c>
      <c r="C19" s="23" t="s">
        <v>80</v>
      </c>
      <c r="D19" s="23" t="s">
        <v>91</v>
      </c>
      <c r="E19" s="23" t="s">
        <v>104</v>
      </c>
      <c r="F19" s="23" t="s">
        <v>146</v>
      </c>
      <c r="G19" s="23">
        <v>17000.0</v>
      </c>
      <c r="H19" s="23" t="s">
        <v>123</v>
      </c>
    </row>
    <row r="20" ht="22.5" customHeight="1">
      <c r="A20" s="21">
        <v>46219.369693518514</v>
      </c>
      <c r="B20" s="22">
        <v>46204.0</v>
      </c>
      <c r="C20" s="23" t="s">
        <v>80</v>
      </c>
      <c r="D20" s="23" t="s">
        <v>91</v>
      </c>
      <c r="E20" s="23" t="s">
        <v>93</v>
      </c>
      <c r="F20" s="23" t="s">
        <v>148</v>
      </c>
      <c r="G20" s="23">
        <v>135750.0</v>
      </c>
      <c r="H20" s="23" t="s">
        <v>123</v>
      </c>
    </row>
    <row r="21" ht="22.5" customHeight="1">
      <c r="A21" s="21">
        <v>46219.37106962963</v>
      </c>
      <c r="B21" s="22">
        <v>46204.0</v>
      </c>
      <c r="C21" s="23" t="s">
        <v>80</v>
      </c>
      <c r="D21" s="23" t="s">
        <v>91</v>
      </c>
      <c r="E21" s="23" t="s">
        <v>61</v>
      </c>
      <c r="G21" s="23">
        <v>33000.0</v>
      </c>
      <c r="H21" s="23" t="s">
        <v>123</v>
      </c>
    </row>
    <row r="22" ht="22.5" customHeight="1">
      <c r="A22" s="21">
        <v>46219.37199395833</v>
      </c>
      <c r="B22" s="22">
        <v>46219.0</v>
      </c>
      <c r="C22" s="23" t="s">
        <v>80</v>
      </c>
      <c r="D22" s="23" t="s">
        <v>151</v>
      </c>
      <c r="E22" s="23" t="s">
        <v>71</v>
      </c>
      <c r="F22" s="23" t="s">
        <v>106</v>
      </c>
      <c r="G22" s="23">
        <v>103000.0</v>
      </c>
      <c r="H22" s="23" t="s">
        <v>123</v>
      </c>
    </row>
    <row r="23" ht="22.5" customHeight="1">
      <c r="A23" s="21">
        <v>46219.470649560186</v>
      </c>
      <c r="B23" s="22">
        <v>46219.0</v>
      </c>
      <c r="C23" s="23" t="s">
        <v>80</v>
      </c>
      <c r="D23" s="23" t="s">
        <v>91</v>
      </c>
      <c r="E23" s="23" t="s">
        <v>85</v>
      </c>
      <c r="G23" s="23">
        <v>23600.0</v>
      </c>
      <c r="H23" s="23" t="s">
        <v>118</v>
      </c>
    </row>
    <row r="24" ht="22.5" customHeight="1">
      <c r="A24" s="21">
        <v>46221.35840167824</v>
      </c>
      <c r="B24" s="22">
        <v>46221.0</v>
      </c>
      <c r="C24" s="23" t="s">
        <v>80</v>
      </c>
      <c r="D24" s="23" t="s">
        <v>91</v>
      </c>
      <c r="E24" s="23" t="s">
        <v>102</v>
      </c>
      <c r="F24" s="23" t="s">
        <v>154</v>
      </c>
      <c r="G24" s="23">
        <v>19250.0</v>
      </c>
      <c r="H24" s="23" t="s">
        <v>123</v>
      </c>
    </row>
    <row r="25" ht="22.5" customHeight="1">
      <c r="A25" s="21">
        <v>46221.39635700232</v>
      </c>
      <c r="B25" s="22">
        <v>45856.0</v>
      </c>
      <c r="C25" s="23" t="s">
        <v>80</v>
      </c>
      <c r="D25" s="23" t="s">
        <v>91</v>
      </c>
      <c r="E25" s="23" t="s">
        <v>93</v>
      </c>
      <c r="F25" s="23" t="s">
        <v>156</v>
      </c>
      <c r="G25" s="23">
        <v>86300.0</v>
      </c>
      <c r="H25" s="23" t="s">
        <v>123</v>
      </c>
    </row>
    <row r="26" ht="22.5" customHeight="1">
      <c r="A26" s="21">
        <v>46221.575030486114</v>
      </c>
      <c r="B26" s="22">
        <v>46192.0</v>
      </c>
      <c r="C26" s="23" t="s">
        <v>80</v>
      </c>
      <c r="D26" s="23" t="s">
        <v>91</v>
      </c>
      <c r="E26" s="23" t="s">
        <v>104</v>
      </c>
      <c r="F26" s="23" t="s">
        <v>158</v>
      </c>
      <c r="G26" s="23">
        <v>13468.0</v>
      </c>
      <c r="H26" s="23" t="s">
        <v>123</v>
      </c>
    </row>
    <row r="27" ht="22.5" customHeight="1">
      <c r="A27" s="21">
        <v>46223.44114638889</v>
      </c>
      <c r="B27" s="22">
        <v>46223.0</v>
      </c>
      <c r="C27" s="23" t="s">
        <v>80</v>
      </c>
      <c r="D27" s="23" t="s">
        <v>91</v>
      </c>
      <c r="E27" s="23" t="s">
        <v>93</v>
      </c>
      <c r="F27" s="23" t="s">
        <v>160</v>
      </c>
      <c r="G27" s="23">
        <v>3800.0</v>
      </c>
      <c r="H27" s="23" t="s">
        <v>123</v>
      </c>
    </row>
    <row r="28" ht="22.5" customHeight="1">
      <c r="A28" s="21">
        <v>46224.477203726856</v>
      </c>
      <c r="B28" s="22">
        <v>46224.0</v>
      </c>
      <c r="C28" s="23" t="s">
        <v>80</v>
      </c>
      <c r="D28" s="23" t="s">
        <v>91</v>
      </c>
      <c r="E28" s="23" t="s">
        <v>105</v>
      </c>
      <c r="F28" s="23" t="s">
        <v>161</v>
      </c>
      <c r="G28" s="23">
        <v>1936500.0</v>
      </c>
      <c r="H28" s="23" t="s">
        <v>118</v>
      </c>
    </row>
    <row r="29" ht="22.5" customHeight="1">
      <c r="A29" s="21">
        <v>46225.18219982639</v>
      </c>
      <c r="B29" s="22">
        <v>46221.0</v>
      </c>
      <c r="C29" s="23" t="s">
        <v>80</v>
      </c>
      <c r="D29" s="23" t="s">
        <v>91</v>
      </c>
      <c r="E29" s="23" t="s">
        <v>100</v>
      </c>
      <c r="F29" s="23" t="s">
        <v>162</v>
      </c>
      <c r="G29" s="23">
        <v>38340.0</v>
      </c>
      <c r="H29" s="23" t="s">
        <v>118</v>
      </c>
    </row>
    <row r="30" ht="22.5" customHeight="1">
      <c r="A30" s="21">
        <v>46225.182819016205</v>
      </c>
      <c r="B30" s="22">
        <v>46221.0</v>
      </c>
      <c r="C30" s="23" t="s">
        <v>80</v>
      </c>
      <c r="D30" s="23" t="s">
        <v>91</v>
      </c>
      <c r="E30" s="23" t="s">
        <v>104</v>
      </c>
      <c r="F30" s="23" t="s">
        <v>163</v>
      </c>
      <c r="G30" s="23">
        <v>28000.0</v>
      </c>
      <c r="H30" s="23" t="s">
        <v>118</v>
      </c>
    </row>
    <row r="31" ht="22.5" customHeight="1">
      <c r="A31" s="21">
        <v>46225.183532407405</v>
      </c>
      <c r="B31" s="22">
        <v>46220.0</v>
      </c>
      <c r="C31" s="23" t="s">
        <v>80</v>
      </c>
      <c r="D31" s="23" t="s">
        <v>91</v>
      </c>
      <c r="E31" s="23" t="s">
        <v>83</v>
      </c>
      <c r="F31" s="23" t="s">
        <v>165</v>
      </c>
      <c r="G31" s="23">
        <v>37500.0</v>
      </c>
      <c r="H31" s="23" t="s">
        <v>118</v>
      </c>
    </row>
    <row r="32" ht="22.5" customHeight="1">
      <c r="A32" s="21">
        <v>46225.185128495374</v>
      </c>
      <c r="B32" s="22">
        <v>46219.0</v>
      </c>
      <c r="C32" s="23" t="s">
        <v>80</v>
      </c>
      <c r="D32" s="23" t="s">
        <v>91</v>
      </c>
      <c r="E32" s="23" t="s">
        <v>93</v>
      </c>
      <c r="F32" s="23" t="s">
        <v>169</v>
      </c>
      <c r="G32" s="23">
        <v>33000.0</v>
      </c>
      <c r="H32" s="23" t="s">
        <v>118</v>
      </c>
    </row>
    <row r="33" ht="22.5" customHeight="1">
      <c r="A33" s="21">
        <v>46225.18822241898</v>
      </c>
      <c r="B33" s="22">
        <v>46224.0</v>
      </c>
      <c r="C33" s="23" t="s">
        <v>80</v>
      </c>
      <c r="D33" s="23" t="s">
        <v>91</v>
      </c>
      <c r="E33" s="23" t="s">
        <v>47</v>
      </c>
      <c r="F33" s="23" t="s">
        <v>175</v>
      </c>
      <c r="G33" s="23">
        <v>171607.0</v>
      </c>
      <c r="H33" s="23" t="s">
        <v>118</v>
      </c>
    </row>
    <row r="34" ht="22.5" customHeight="1">
      <c r="A34" s="21">
        <v>46243.65835993056</v>
      </c>
      <c r="B34" s="22">
        <v>46224.0</v>
      </c>
      <c r="C34" s="23" t="s">
        <v>80</v>
      </c>
      <c r="D34" s="23" t="s">
        <v>91</v>
      </c>
      <c r="E34" s="23" t="s">
        <v>105</v>
      </c>
      <c r="F34" s="23" t="s">
        <v>181</v>
      </c>
      <c r="G34" s="23">
        <v>1928880.0</v>
      </c>
      <c r="H34" s="23" t="s">
        <v>118</v>
      </c>
    </row>
    <row r="35" ht="22.5" customHeight="1">
      <c r="A35" s="21">
        <v>46243.65977637732</v>
      </c>
      <c r="B35" s="22">
        <v>46217.0</v>
      </c>
      <c r="C35" s="23" t="s">
        <v>80</v>
      </c>
      <c r="D35" s="23" t="s">
        <v>91</v>
      </c>
      <c r="E35" s="23" t="s">
        <v>105</v>
      </c>
      <c r="F35" s="23" t="s">
        <v>183</v>
      </c>
      <c r="G35" s="23">
        <v>236780.0</v>
      </c>
      <c r="H35" s="23" t="s">
        <v>118</v>
      </c>
    </row>
    <row r="36" ht="22.5" customHeight="1">
      <c r="A36" s="21">
        <v>46243.660188553244</v>
      </c>
      <c r="B36" s="22">
        <v>46217.0</v>
      </c>
      <c r="C36" s="23" t="s">
        <v>80</v>
      </c>
      <c r="D36" s="23" t="s">
        <v>91</v>
      </c>
      <c r="E36" s="23" t="s">
        <v>105</v>
      </c>
      <c r="F36" s="23" t="s">
        <v>185</v>
      </c>
      <c r="G36" s="23">
        <v>332000.0</v>
      </c>
      <c r="H36" s="23" t="s">
        <v>118</v>
      </c>
    </row>
    <row r="37" ht="22.5" customHeight="1">
      <c r="A37" s="21">
        <v>46243.66184173611</v>
      </c>
      <c r="B37" s="22">
        <v>46221.0</v>
      </c>
      <c r="C37" s="23" t="s">
        <v>80</v>
      </c>
      <c r="D37" s="23" t="s">
        <v>91</v>
      </c>
      <c r="E37" s="23" t="s">
        <v>104</v>
      </c>
      <c r="F37" s="23" t="s">
        <v>186</v>
      </c>
      <c r="G37" s="23">
        <v>13500.0</v>
      </c>
      <c r="H37" s="23" t="s">
        <v>123</v>
      </c>
    </row>
    <row r="38" ht="22.5" customHeight="1">
      <c r="A38" s="21">
        <v>46243.662439050924</v>
      </c>
      <c r="B38" s="22">
        <v>46226.0</v>
      </c>
      <c r="C38" s="23" t="s">
        <v>80</v>
      </c>
      <c r="D38" s="23" t="s">
        <v>91</v>
      </c>
      <c r="E38" s="23" t="s">
        <v>104</v>
      </c>
      <c r="F38" s="23" t="s">
        <v>188</v>
      </c>
      <c r="G38" s="23">
        <v>5000.0</v>
      </c>
      <c r="H38" s="23" t="s">
        <v>123</v>
      </c>
    </row>
    <row r="39" ht="22.5" customHeight="1">
      <c r="A39" s="21">
        <v>46243.66360079861</v>
      </c>
      <c r="B39" s="22">
        <v>46228.0</v>
      </c>
      <c r="C39" s="23" t="s">
        <v>80</v>
      </c>
      <c r="D39" s="23" t="s">
        <v>91</v>
      </c>
      <c r="E39" s="23" t="s">
        <v>104</v>
      </c>
      <c r="F39" s="23" t="s">
        <v>191</v>
      </c>
      <c r="G39" s="23">
        <v>14300.0</v>
      </c>
      <c r="H39" s="23" t="s">
        <v>123</v>
      </c>
    </row>
    <row r="40" ht="22.5" customHeight="1">
      <c r="A40" s="21">
        <v>46243.663992581016</v>
      </c>
      <c r="B40" s="22">
        <v>46228.0</v>
      </c>
      <c r="C40" s="23" t="s">
        <v>80</v>
      </c>
      <c r="D40" s="23" t="s">
        <v>91</v>
      </c>
      <c r="E40" s="23" t="s">
        <v>104</v>
      </c>
      <c r="F40" s="23" t="s">
        <v>193</v>
      </c>
      <c r="G40" s="23">
        <v>8050.0</v>
      </c>
      <c r="H40" s="23" t="s">
        <v>123</v>
      </c>
    </row>
    <row r="41" ht="22.5" customHeight="1">
      <c r="A41" s="21">
        <v>46243.6644456713</v>
      </c>
      <c r="B41" s="22">
        <v>46234.0</v>
      </c>
      <c r="C41" s="23" t="s">
        <v>80</v>
      </c>
      <c r="D41" s="23" t="s">
        <v>91</v>
      </c>
      <c r="E41" s="23" t="s">
        <v>104</v>
      </c>
      <c r="F41" s="23" t="s">
        <v>195</v>
      </c>
      <c r="G41" s="23">
        <v>4600.0</v>
      </c>
      <c r="H41" s="23" t="s">
        <v>123</v>
      </c>
    </row>
    <row r="42" ht="22.5" customHeight="1">
      <c r="A42" s="21">
        <v>46243.66625045139</v>
      </c>
      <c r="B42" s="22">
        <v>46239.0</v>
      </c>
      <c r="C42" s="23" t="s">
        <v>82</v>
      </c>
      <c r="D42" s="23" t="s">
        <v>91</v>
      </c>
      <c r="E42" s="23" t="s">
        <v>93</v>
      </c>
      <c r="F42" s="23" t="s">
        <v>197</v>
      </c>
      <c r="G42" s="23">
        <v>37000.0</v>
      </c>
      <c r="H42" s="23" t="s">
        <v>123</v>
      </c>
    </row>
    <row r="43" ht="22.5" customHeight="1">
      <c r="A43" s="21">
        <v>46243.666645150464</v>
      </c>
      <c r="B43" s="22">
        <v>46241.0</v>
      </c>
      <c r="C43" s="23" t="s">
        <v>82</v>
      </c>
      <c r="D43" s="23" t="s">
        <v>91</v>
      </c>
      <c r="E43" s="23" t="s">
        <v>104</v>
      </c>
      <c r="F43" s="23" t="s">
        <v>200</v>
      </c>
      <c r="G43" s="23">
        <v>23000.0</v>
      </c>
      <c r="H43" s="23" t="s">
        <v>123</v>
      </c>
    </row>
    <row r="44" ht="22.5" customHeight="1">
      <c r="A44" s="21">
        <v>46243.66741342592</v>
      </c>
      <c r="B44" s="22">
        <v>46241.0</v>
      </c>
      <c r="C44" s="23" t="s">
        <v>82</v>
      </c>
      <c r="D44" s="23" t="s">
        <v>91</v>
      </c>
      <c r="E44" s="23" t="s">
        <v>111</v>
      </c>
      <c r="F44" s="23" t="s">
        <v>204</v>
      </c>
      <c r="G44" s="23">
        <v>552720.0</v>
      </c>
      <c r="H44" s="23" t="s">
        <v>123</v>
      </c>
    </row>
    <row r="45" ht="22.5" customHeight="1">
      <c r="A45" s="21">
        <v>46243.66988263889</v>
      </c>
      <c r="B45" s="22">
        <v>46235.0</v>
      </c>
      <c r="C45" s="23" t="s">
        <v>82</v>
      </c>
      <c r="D45" s="23" t="s">
        <v>91</v>
      </c>
      <c r="E45" s="23" t="s">
        <v>93</v>
      </c>
      <c r="F45" s="23" t="s">
        <v>209</v>
      </c>
      <c r="G45" s="23">
        <v>46900.0</v>
      </c>
      <c r="H45" s="23" t="s">
        <v>118</v>
      </c>
    </row>
    <row r="46" ht="22.5" customHeight="1">
      <c r="A46" s="21">
        <v>46243.67059045139</v>
      </c>
      <c r="B46" s="22">
        <v>46241.0</v>
      </c>
      <c r="C46" s="23" t="s">
        <v>82</v>
      </c>
      <c r="D46" s="23" t="s">
        <v>91</v>
      </c>
      <c r="E46" s="23" t="s">
        <v>104</v>
      </c>
      <c r="F46" s="23" t="s">
        <v>211</v>
      </c>
      <c r="G46" s="23">
        <v>32400.0</v>
      </c>
      <c r="H46" s="23" t="s">
        <v>118</v>
      </c>
    </row>
    <row r="47" ht="22.5" customHeight="1">
      <c r="A47" s="21">
        <v>46243.671352731486</v>
      </c>
      <c r="B47" s="22">
        <v>46241.0</v>
      </c>
      <c r="C47" s="23" t="s">
        <v>82</v>
      </c>
      <c r="D47" s="23" t="s">
        <v>91</v>
      </c>
      <c r="E47" s="23" t="s">
        <v>104</v>
      </c>
      <c r="F47" s="23" t="s">
        <v>212</v>
      </c>
      <c r="G47" s="23">
        <v>5200.0</v>
      </c>
      <c r="H47" s="23" t="s">
        <v>118</v>
      </c>
    </row>
    <row r="48" ht="22.5" customHeight="1">
      <c r="A48" s="21">
        <v>46243.67261460648</v>
      </c>
      <c r="B48" s="22">
        <v>46235.0</v>
      </c>
      <c r="C48" s="23" t="s">
        <v>82</v>
      </c>
      <c r="D48" s="23" t="s">
        <v>151</v>
      </c>
      <c r="E48" s="23" t="s">
        <v>29</v>
      </c>
      <c r="G48" s="23">
        <v>1821000.0</v>
      </c>
      <c r="H48" s="23" t="s">
        <v>123</v>
      </c>
    </row>
    <row r="49" ht="22.5" customHeight="1">
      <c r="A49" s="21">
        <v>46243.672817847226</v>
      </c>
      <c r="B49" s="22">
        <v>46235.0</v>
      </c>
      <c r="C49" s="23" t="s">
        <v>82</v>
      </c>
      <c r="D49" s="23" t="s">
        <v>151</v>
      </c>
      <c r="E49" s="23" t="s">
        <v>58</v>
      </c>
      <c r="G49" s="23">
        <v>950000.0</v>
      </c>
      <c r="H49" s="23" t="s">
        <v>123</v>
      </c>
    </row>
    <row r="50" ht="22.5" customHeight="1">
      <c r="A50" s="21">
        <v>46243.67435260417</v>
      </c>
      <c r="B50" s="22">
        <v>46237.0</v>
      </c>
      <c r="C50" s="23" t="s">
        <v>82</v>
      </c>
      <c r="D50" s="23" t="s">
        <v>91</v>
      </c>
      <c r="E50" s="23" t="s">
        <v>111</v>
      </c>
      <c r="F50" s="23" t="s">
        <v>214</v>
      </c>
      <c r="G50" s="23">
        <v>2440000.0</v>
      </c>
      <c r="H50" s="23" t="s">
        <v>123</v>
      </c>
    </row>
    <row r="51" ht="22.5" customHeight="1">
      <c r="A51" s="21">
        <v>46243.67525291667</v>
      </c>
      <c r="B51" s="22">
        <v>46241.0</v>
      </c>
      <c r="C51" s="23" t="s">
        <v>82</v>
      </c>
      <c r="D51" s="23" t="s">
        <v>91</v>
      </c>
      <c r="E51" s="23" t="s">
        <v>88</v>
      </c>
      <c r="F51" s="23" t="s">
        <v>215</v>
      </c>
      <c r="G51" s="23">
        <v>1400000.0</v>
      </c>
      <c r="H51" s="23" t="s">
        <v>118</v>
      </c>
    </row>
    <row r="52" ht="22.5" customHeight="1">
      <c r="A52" s="17"/>
      <c r="B52" s="19"/>
      <c r="C52" s="20"/>
      <c r="D52" s="20"/>
      <c r="E52" s="20"/>
      <c r="F52" s="20"/>
      <c r="G52" s="20"/>
      <c r="H52" s="20" t="str">
        <f>IF(D52="Gasto", IFERROR(VLOOKUP(E52, Config!$F$6:$G$29, 2, FALSE), ""), "")</f>
        <v/>
      </c>
    </row>
    <row r="53" ht="22.5" customHeight="1">
      <c r="A53" s="17"/>
      <c r="B53" s="19"/>
      <c r="C53" s="20"/>
      <c r="D53" s="20"/>
      <c r="E53" s="20"/>
      <c r="F53" s="20"/>
      <c r="G53" s="20"/>
      <c r="H53" s="20" t="str">
        <f>IF(D53="Gasto", IFERROR(VLOOKUP(E53, Config!$F$6:$G$29, 2, FALSE), ""), "")</f>
        <v/>
      </c>
    </row>
    <row r="54" ht="22.5" customHeight="1">
      <c r="A54" s="17"/>
      <c r="B54" s="19"/>
      <c r="C54" s="20"/>
      <c r="D54" s="20"/>
      <c r="E54" s="20"/>
      <c r="F54" s="20"/>
      <c r="G54" s="20"/>
      <c r="H54" s="20" t="str">
        <f>IF(D54="Gasto", IFERROR(VLOOKUP(E54, Config!$F$6:$G$29, 2, FALSE), ""), "")</f>
        <v/>
      </c>
    </row>
    <row r="55" ht="22.5" customHeight="1">
      <c r="A55" s="17"/>
      <c r="B55" s="19"/>
      <c r="C55" s="20"/>
      <c r="D55" s="20"/>
      <c r="E55" s="20"/>
      <c r="F55" s="20"/>
      <c r="G55" s="20"/>
      <c r="H55" s="20" t="str">
        <f>IF(D55="Gasto", IFERROR(VLOOKUP(E55, Config!$F$6:$G$29, 2, FALSE), ""), "")</f>
        <v/>
      </c>
    </row>
    <row r="56" ht="22.5" customHeight="1">
      <c r="A56" s="17"/>
      <c r="B56" s="19"/>
      <c r="C56" s="20"/>
      <c r="D56" s="20"/>
      <c r="E56" s="20"/>
      <c r="F56" s="20"/>
      <c r="G56" s="20"/>
      <c r="H56" s="20" t="str">
        <f>IF(D56="Gasto", IFERROR(VLOOKUP(E56, Config!$F$6:$G$29, 2, FALSE), ""), "")</f>
        <v/>
      </c>
    </row>
    <row r="57" ht="22.5" customHeight="1">
      <c r="A57" s="17"/>
      <c r="B57" s="19"/>
      <c r="C57" s="20"/>
      <c r="D57" s="20"/>
      <c r="E57" s="20"/>
      <c r="F57" s="20"/>
      <c r="G57" s="20"/>
      <c r="H57" s="20" t="str">
        <f>IF(D57="Gasto", IFERROR(VLOOKUP(E57, Config!$F$6:$G$29, 2, FALSE), ""), "")</f>
        <v/>
      </c>
    </row>
    <row r="58" ht="22.5" customHeight="1">
      <c r="A58" s="17"/>
      <c r="B58" s="19"/>
      <c r="C58" s="20"/>
      <c r="D58" s="20"/>
      <c r="E58" s="20"/>
      <c r="F58" s="20"/>
      <c r="G58" s="20"/>
      <c r="H58" s="20" t="str">
        <f>IF(D58="Gasto", IFERROR(VLOOKUP(E58, Config!$F$6:$G$29, 2, FALSE), ""), "")</f>
        <v/>
      </c>
    </row>
    <row r="59" ht="22.5" customHeight="1">
      <c r="A59" s="17"/>
      <c r="B59" s="19"/>
      <c r="C59" s="20"/>
      <c r="D59" s="20"/>
      <c r="E59" s="20"/>
      <c r="F59" s="20"/>
      <c r="G59" s="20"/>
      <c r="H59" s="20" t="str">
        <f>IF(D59="Gasto", IFERROR(VLOOKUP(E59, Config!$F$6:$G$29, 2, FALSE), ""), "")</f>
        <v/>
      </c>
    </row>
    <row r="60" ht="22.5" customHeight="1">
      <c r="A60" s="17"/>
      <c r="B60" s="19"/>
      <c r="C60" s="20"/>
      <c r="D60" s="20"/>
      <c r="E60" s="20"/>
      <c r="F60" s="20"/>
      <c r="G60" s="20"/>
      <c r="H60" s="20" t="str">
        <f>IF(D60="Gasto", IFERROR(VLOOKUP(E60, Config!$F$6:$G$29, 2, FALSE), ""), "")</f>
        <v/>
      </c>
    </row>
    <row r="61" ht="22.5" customHeight="1">
      <c r="A61" s="17"/>
      <c r="B61" s="19"/>
      <c r="C61" s="20"/>
      <c r="D61" s="20"/>
      <c r="E61" s="20"/>
      <c r="F61" s="20"/>
      <c r="G61" s="20"/>
      <c r="H61" s="20" t="str">
        <f>IF(D61="Gasto", IFERROR(VLOOKUP(E61, Config!$F$6:$G$29, 2, FALSE), ""), "")</f>
        <v/>
      </c>
    </row>
    <row r="62" ht="22.5" customHeight="1">
      <c r="A62" s="17"/>
      <c r="B62" s="19"/>
      <c r="C62" s="20"/>
      <c r="D62" s="20"/>
      <c r="E62" s="20"/>
      <c r="F62" s="20"/>
      <c r="G62" s="20"/>
      <c r="H62" s="20" t="str">
        <f>IF(D62="Gasto", IFERROR(VLOOKUP(E62, Config!$F$6:$G$29, 2, FALSE), ""), "")</f>
        <v/>
      </c>
    </row>
    <row r="63" ht="22.5" customHeight="1">
      <c r="A63" s="17"/>
      <c r="B63" s="19"/>
      <c r="C63" s="20"/>
      <c r="D63" s="20"/>
      <c r="E63" s="20"/>
      <c r="F63" s="20"/>
      <c r="G63" s="20"/>
      <c r="H63" s="20" t="str">
        <f>IF(D63="Gasto", IFERROR(VLOOKUP(E63, Config!$F$6:$G$29, 2, FALSE), ""), "")</f>
        <v/>
      </c>
    </row>
    <row r="64" ht="22.5" customHeight="1">
      <c r="A64" s="17"/>
      <c r="B64" s="19"/>
      <c r="C64" s="20"/>
      <c r="D64" s="20"/>
      <c r="E64" s="20"/>
      <c r="F64" s="20"/>
      <c r="G64" s="20"/>
      <c r="H64" s="20" t="str">
        <f>IF(D64="Gasto", IFERROR(VLOOKUP(E64, Config!$F$6:$G$29, 2, FALSE), ""), "")</f>
        <v/>
      </c>
    </row>
    <row r="65" ht="22.5" customHeight="1">
      <c r="A65" s="17"/>
      <c r="B65" s="19"/>
      <c r="C65" s="20"/>
      <c r="D65" s="20"/>
      <c r="E65" s="20"/>
      <c r="F65" s="20"/>
      <c r="G65" s="20"/>
      <c r="H65" s="20" t="str">
        <f>IF(D65="Gasto", IFERROR(VLOOKUP(E65, Config!$F$6:$G$29, 2, FALSE), ""), "")</f>
        <v/>
      </c>
    </row>
    <row r="66" ht="22.5" customHeight="1">
      <c r="A66" s="17"/>
      <c r="B66" s="19"/>
      <c r="C66" s="20"/>
      <c r="D66" s="20"/>
      <c r="E66" s="20"/>
      <c r="F66" s="20"/>
      <c r="G66" s="20"/>
      <c r="H66" s="20" t="str">
        <f>IF(D66="Gasto", IFERROR(VLOOKUP(E66, Config!$F$6:$G$29, 2, FALSE), ""), "")</f>
        <v/>
      </c>
    </row>
    <row r="67" ht="22.5" customHeight="1">
      <c r="A67" s="17"/>
      <c r="B67" s="19"/>
      <c r="C67" s="20"/>
      <c r="D67" s="20"/>
      <c r="E67" s="20"/>
      <c r="F67" s="20"/>
      <c r="G67" s="20"/>
      <c r="H67" s="20" t="str">
        <f>IF(D67="Gasto", IFERROR(VLOOKUP(E67, Config!$F$6:$G$29, 2, FALSE), ""), "")</f>
        <v/>
      </c>
    </row>
    <row r="68" ht="22.5" customHeight="1">
      <c r="A68" s="17"/>
      <c r="B68" s="19"/>
      <c r="C68" s="20"/>
      <c r="D68" s="20"/>
      <c r="E68" s="20"/>
      <c r="F68" s="20"/>
      <c r="G68" s="20"/>
      <c r="H68" s="20" t="str">
        <f>IF(D68="Gasto", IFERROR(VLOOKUP(E68, Config!$F$6:$G$29, 2, FALSE), ""), "")</f>
        <v/>
      </c>
    </row>
    <row r="69" ht="22.5" customHeight="1">
      <c r="A69" s="17"/>
      <c r="B69" s="19"/>
      <c r="C69" s="20"/>
      <c r="D69" s="20"/>
      <c r="E69" s="20"/>
      <c r="F69" s="20"/>
      <c r="G69" s="20"/>
      <c r="H69" s="20" t="str">
        <f>IF(D69="Gasto", IFERROR(VLOOKUP(E69, Config!$F$6:$G$29, 2, FALSE), ""), "")</f>
        <v/>
      </c>
    </row>
    <row r="70" ht="22.5" customHeight="1">
      <c r="A70" s="17"/>
      <c r="B70" s="19"/>
      <c r="C70" s="20"/>
      <c r="D70" s="20"/>
      <c r="E70" s="20"/>
      <c r="F70" s="20"/>
      <c r="G70" s="20"/>
      <c r="H70" s="20" t="str">
        <f>IF(D70="Gasto", IFERROR(VLOOKUP(E70, Config!$F$6:$G$29, 2, FALSE), ""), "")</f>
        <v/>
      </c>
    </row>
    <row r="71" ht="22.5" customHeight="1">
      <c r="A71" s="17"/>
      <c r="B71" s="19"/>
      <c r="C71" s="20"/>
      <c r="D71" s="20"/>
      <c r="E71" s="20"/>
      <c r="F71" s="20"/>
      <c r="G71" s="20"/>
      <c r="H71" s="20" t="str">
        <f>IF(D71="Gasto", IFERROR(VLOOKUP(E71, Config!$F$6:$G$29, 2, FALSE), ""), "")</f>
        <v/>
      </c>
    </row>
    <row r="72" ht="22.5" customHeight="1">
      <c r="A72" s="17"/>
      <c r="B72" s="19"/>
      <c r="C72" s="20"/>
      <c r="D72" s="20"/>
      <c r="E72" s="20"/>
      <c r="F72" s="20"/>
      <c r="G72" s="20"/>
      <c r="H72" s="20" t="str">
        <f>IF(D72="Gasto", IFERROR(VLOOKUP(E72, Config!$F$6:$G$29, 2, FALSE), ""), "")</f>
        <v/>
      </c>
    </row>
    <row r="73" ht="22.5" customHeight="1">
      <c r="A73" s="17"/>
      <c r="B73" s="19"/>
      <c r="C73" s="20"/>
      <c r="D73" s="20"/>
      <c r="E73" s="20"/>
      <c r="F73" s="20"/>
      <c r="G73" s="20"/>
      <c r="H73" s="20" t="str">
        <f>IF(D73="Gasto", IFERROR(VLOOKUP(E73, Config!$F$6:$G$29, 2, FALSE), ""), "")</f>
        <v/>
      </c>
    </row>
    <row r="74" ht="22.5" customHeight="1">
      <c r="A74" s="17"/>
      <c r="B74" s="19"/>
      <c r="C74" s="20"/>
      <c r="D74" s="20"/>
      <c r="E74" s="20"/>
      <c r="F74" s="20"/>
      <c r="G74" s="20"/>
      <c r="H74" s="20" t="str">
        <f>IF(D74="Gasto", IFERROR(VLOOKUP(E74, Config!$F$6:$G$29, 2, FALSE), ""), "")</f>
        <v/>
      </c>
    </row>
    <row r="75" ht="22.5" customHeight="1">
      <c r="A75" s="17"/>
      <c r="B75" s="19"/>
      <c r="C75" s="20"/>
      <c r="D75" s="20"/>
      <c r="E75" s="20"/>
      <c r="F75" s="20"/>
      <c r="G75" s="20"/>
      <c r="H75" s="20" t="str">
        <f>IF(D75="Gasto", IFERROR(VLOOKUP(E75, Config!$F$6:$G$29, 2, FALSE), ""), "")</f>
        <v/>
      </c>
    </row>
    <row r="76" ht="22.5" customHeight="1">
      <c r="A76" s="17"/>
      <c r="B76" s="19"/>
      <c r="C76" s="20"/>
      <c r="D76" s="20"/>
      <c r="E76" s="20"/>
      <c r="F76" s="20"/>
      <c r="G76" s="20"/>
      <c r="H76" s="20" t="str">
        <f>IF(D76="Gasto", IFERROR(VLOOKUP(E76, Config!$F$6:$G$29, 2, FALSE), ""), "")</f>
        <v/>
      </c>
    </row>
    <row r="77" ht="22.5" customHeight="1">
      <c r="A77" s="17"/>
      <c r="B77" s="19"/>
      <c r="C77" s="20"/>
      <c r="D77" s="20"/>
      <c r="E77" s="20"/>
      <c r="F77" s="20"/>
      <c r="G77" s="20"/>
      <c r="H77" s="20" t="str">
        <f>IF(D77="Gasto", IFERROR(VLOOKUP(E77, Config!$F$6:$G$29, 2, FALSE), ""), "")</f>
        <v/>
      </c>
    </row>
    <row r="78" ht="22.5" customHeight="1">
      <c r="A78" s="17"/>
      <c r="B78" s="19"/>
      <c r="C78" s="20"/>
      <c r="D78" s="20"/>
      <c r="E78" s="20"/>
      <c r="F78" s="20"/>
      <c r="G78" s="20"/>
      <c r="H78" s="20" t="str">
        <f>IF(D78="Gasto", IFERROR(VLOOKUP(E78, Config!$F$6:$G$29, 2, FALSE), ""), "")</f>
        <v/>
      </c>
    </row>
    <row r="79" ht="22.5" customHeight="1">
      <c r="A79" s="17"/>
      <c r="B79" s="19"/>
      <c r="C79" s="20"/>
      <c r="D79" s="20"/>
      <c r="E79" s="20"/>
      <c r="F79" s="20"/>
      <c r="G79" s="20"/>
      <c r="H79" s="20" t="str">
        <f>IF(D79="Gasto", IFERROR(VLOOKUP(E79, Config!$F$6:$G$29, 2, FALSE), ""), "")</f>
        <v/>
      </c>
    </row>
    <row r="80" ht="22.5" customHeight="1">
      <c r="A80" s="17"/>
      <c r="B80" s="19"/>
      <c r="C80" s="20"/>
      <c r="D80" s="20"/>
      <c r="E80" s="20"/>
      <c r="F80" s="20"/>
      <c r="G80" s="20"/>
      <c r="H80" s="20" t="str">
        <f>IF(D80="Gasto", IFERROR(VLOOKUP(E80, Config!$F$6:$G$29, 2, FALSE), ""), "")</f>
        <v/>
      </c>
    </row>
    <row r="81" ht="22.5" customHeight="1">
      <c r="A81" s="17"/>
      <c r="B81" s="19"/>
      <c r="C81" s="20"/>
      <c r="D81" s="20"/>
      <c r="E81" s="20"/>
      <c r="F81" s="20"/>
      <c r="G81" s="20"/>
      <c r="H81" s="20" t="str">
        <f>IF(D81="Gasto", IFERROR(VLOOKUP(E81, Config!$F$6:$G$29, 2, FALSE), ""), "")</f>
        <v/>
      </c>
    </row>
    <row r="82" ht="22.5" customHeight="1">
      <c r="A82" s="17"/>
      <c r="B82" s="19"/>
      <c r="C82" s="20"/>
      <c r="D82" s="20"/>
      <c r="E82" s="20"/>
      <c r="F82" s="20"/>
      <c r="G82" s="20"/>
      <c r="H82" s="20" t="str">
        <f>IF(D82="Gasto", IFERROR(VLOOKUP(E82, Config!$F$6:$G$29, 2, FALSE), ""), "")</f>
        <v/>
      </c>
    </row>
    <row r="83" ht="22.5" customHeight="1">
      <c r="A83" s="17"/>
      <c r="B83" s="19"/>
      <c r="C83" s="20"/>
      <c r="D83" s="20"/>
      <c r="E83" s="20"/>
      <c r="F83" s="20"/>
      <c r="G83" s="20"/>
      <c r="H83" s="20" t="str">
        <f>IF(D83="Gasto", IFERROR(VLOOKUP(E83, Config!$F$6:$G$29, 2, FALSE), ""), "")</f>
        <v/>
      </c>
    </row>
    <row r="84" ht="22.5" customHeight="1">
      <c r="A84" s="17"/>
      <c r="B84" s="19"/>
      <c r="C84" s="20"/>
      <c r="D84" s="20"/>
      <c r="E84" s="20"/>
      <c r="F84" s="20"/>
      <c r="G84" s="20"/>
      <c r="H84" s="20" t="str">
        <f>IF(D84="Gasto", IFERROR(VLOOKUP(E84, Config!$F$6:$G$29, 2, FALSE), ""), "")</f>
        <v/>
      </c>
    </row>
    <row r="85" ht="22.5" customHeight="1">
      <c r="A85" s="17"/>
      <c r="B85" s="19"/>
      <c r="C85" s="20"/>
      <c r="D85" s="20"/>
      <c r="E85" s="20"/>
      <c r="F85" s="20"/>
      <c r="G85" s="20"/>
      <c r="H85" s="20" t="str">
        <f>IF(D85="Gasto", IFERROR(VLOOKUP(E85, Config!$F$6:$G$29, 2, FALSE), ""), "")</f>
        <v/>
      </c>
    </row>
    <row r="86" ht="22.5" customHeight="1">
      <c r="A86" s="17"/>
      <c r="B86" s="19"/>
      <c r="C86" s="20"/>
      <c r="D86" s="20"/>
      <c r="E86" s="20"/>
      <c r="F86" s="20"/>
      <c r="G86" s="20"/>
      <c r="H86" s="20" t="str">
        <f>IF(D86="Gasto", IFERROR(VLOOKUP(E86, Config!$F$6:$G$29, 2, FALSE), ""), "")</f>
        <v/>
      </c>
    </row>
    <row r="87" ht="22.5" customHeight="1">
      <c r="A87" s="17"/>
      <c r="B87" s="19"/>
      <c r="C87" s="20"/>
      <c r="D87" s="20"/>
      <c r="E87" s="20"/>
      <c r="F87" s="20"/>
      <c r="G87" s="20"/>
      <c r="H87" s="20" t="str">
        <f>IF(D87="Gasto", IFERROR(VLOOKUP(E87, Config!$F$6:$G$29, 2, FALSE), ""), "")</f>
        <v/>
      </c>
    </row>
    <row r="88" ht="22.5" customHeight="1">
      <c r="A88" s="17"/>
      <c r="B88" s="19"/>
      <c r="C88" s="20"/>
      <c r="D88" s="20"/>
      <c r="E88" s="20"/>
      <c r="F88" s="20"/>
      <c r="G88" s="20"/>
      <c r="H88" s="20" t="str">
        <f>IF(D88="Gasto", IFERROR(VLOOKUP(E88, Config!$F$6:$G$29, 2, FALSE), ""), "")</f>
        <v/>
      </c>
    </row>
    <row r="89" ht="22.5" customHeight="1">
      <c r="A89" s="17"/>
      <c r="B89" s="19"/>
      <c r="C89" s="20"/>
      <c r="D89" s="20"/>
      <c r="E89" s="20"/>
      <c r="F89" s="20"/>
      <c r="G89" s="20"/>
      <c r="H89" s="20" t="str">
        <f>IF(D89="Gasto", IFERROR(VLOOKUP(E89, Config!$F$6:$G$29, 2, FALSE), ""), "")</f>
        <v/>
      </c>
    </row>
    <row r="90" ht="22.5" customHeight="1">
      <c r="A90" s="17"/>
      <c r="B90" s="19"/>
      <c r="C90" s="20"/>
      <c r="D90" s="20"/>
      <c r="E90" s="20"/>
      <c r="F90" s="20"/>
      <c r="G90" s="20"/>
      <c r="H90" s="20" t="str">
        <f>IF(D90="Gasto", IFERROR(VLOOKUP(E90, Config!$F$6:$G$29, 2, FALSE), ""), "")</f>
        <v/>
      </c>
    </row>
    <row r="91" ht="22.5" customHeight="1">
      <c r="A91" s="17"/>
      <c r="B91" s="19"/>
      <c r="C91" s="20"/>
      <c r="D91" s="20"/>
      <c r="E91" s="20"/>
      <c r="F91" s="20"/>
      <c r="G91" s="20"/>
      <c r="H91" s="20" t="str">
        <f>IF(D91="Gasto", IFERROR(VLOOKUP(E91, Config!$F$6:$G$29, 2, FALSE), ""), "")</f>
        <v/>
      </c>
    </row>
    <row r="92" ht="22.5" customHeight="1">
      <c r="A92" s="17"/>
      <c r="B92" s="19"/>
      <c r="C92" s="20"/>
      <c r="D92" s="20"/>
      <c r="E92" s="20"/>
      <c r="F92" s="20"/>
      <c r="G92" s="20"/>
      <c r="H92" s="20" t="str">
        <f>IF(D92="Gasto", IFERROR(VLOOKUP(E92, Config!$F$6:$G$29, 2, FALSE), ""), "")</f>
        <v/>
      </c>
    </row>
    <row r="93" ht="22.5" customHeight="1">
      <c r="A93" s="17"/>
      <c r="B93" s="19"/>
      <c r="C93" s="20"/>
      <c r="D93" s="20"/>
      <c r="E93" s="20"/>
      <c r="F93" s="20"/>
      <c r="G93" s="20"/>
      <c r="H93" s="20" t="str">
        <f>IF(D93="Gasto", IFERROR(VLOOKUP(E93, Config!$F$6:$G$29, 2, FALSE), ""), "")</f>
        <v/>
      </c>
    </row>
    <row r="94" ht="22.5" customHeight="1">
      <c r="A94" s="17"/>
      <c r="B94" s="19"/>
      <c r="C94" s="20"/>
      <c r="D94" s="20"/>
      <c r="E94" s="20"/>
      <c r="F94" s="20"/>
      <c r="G94" s="20"/>
      <c r="H94" s="20" t="str">
        <f>IF(D94="Gasto", IFERROR(VLOOKUP(E94, Config!$F$6:$G$29, 2, FALSE), ""), "")</f>
        <v/>
      </c>
    </row>
    <row r="95" ht="22.5" customHeight="1">
      <c r="A95" s="17"/>
      <c r="B95" s="19"/>
      <c r="C95" s="20"/>
      <c r="D95" s="20"/>
      <c r="E95" s="20"/>
      <c r="F95" s="20"/>
      <c r="G95" s="20"/>
      <c r="H95" s="20" t="str">
        <f>IF(D95="Gasto", IFERROR(VLOOKUP(E95, Config!$F$6:$G$29, 2, FALSE), ""), "")</f>
        <v/>
      </c>
    </row>
    <row r="96" ht="22.5" customHeight="1">
      <c r="A96" s="17"/>
      <c r="B96" s="19"/>
      <c r="C96" s="20"/>
      <c r="D96" s="20"/>
      <c r="E96" s="20"/>
      <c r="F96" s="20"/>
      <c r="G96" s="20"/>
      <c r="H96" s="20" t="str">
        <f>IF(D96="Gasto", IFERROR(VLOOKUP(E96, Config!$F$6:$G$29, 2, FALSE), ""), "")</f>
        <v/>
      </c>
    </row>
    <row r="97" ht="22.5" customHeight="1">
      <c r="A97" s="17"/>
      <c r="B97" s="19"/>
      <c r="C97" s="20"/>
      <c r="D97" s="20"/>
      <c r="E97" s="20"/>
      <c r="F97" s="20"/>
      <c r="G97" s="20"/>
      <c r="H97" s="20" t="str">
        <f>IF(D97="Gasto", IFERROR(VLOOKUP(E97, Config!$F$6:$G$29, 2, FALSE), ""), "")</f>
        <v/>
      </c>
    </row>
    <row r="98" ht="22.5" customHeight="1">
      <c r="A98" s="17"/>
      <c r="B98" s="19"/>
      <c r="C98" s="20"/>
      <c r="D98" s="20"/>
      <c r="E98" s="20"/>
      <c r="F98" s="20"/>
      <c r="G98" s="20"/>
      <c r="H98" s="20" t="str">
        <f>IF(D98="Gasto", IFERROR(VLOOKUP(E98, Config!$F$6:$G$29, 2, FALSE), ""), "")</f>
        <v/>
      </c>
    </row>
    <row r="99" ht="22.5" customHeight="1">
      <c r="A99" s="17"/>
      <c r="B99" s="19"/>
      <c r="C99" s="20"/>
      <c r="D99" s="20"/>
      <c r="E99" s="20"/>
      <c r="F99" s="20"/>
      <c r="G99" s="20"/>
      <c r="H99" s="20" t="str">
        <f>IF(D99="Gasto", IFERROR(VLOOKUP(E99, Config!$F$6:$G$29, 2, FALSE), ""), "")</f>
        <v/>
      </c>
    </row>
    <row r="100" ht="22.5" customHeight="1">
      <c r="A100" s="17"/>
      <c r="B100" s="19"/>
      <c r="C100" s="20"/>
      <c r="D100" s="20"/>
      <c r="E100" s="20"/>
      <c r="F100" s="20"/>
      <c r="G100" s="20"/>
      <c r="H100" s="20" t="str">
        <f>IF(D100="Gasto", IFERROR(VLOOKUP(E100, Config!$F$6:$G$29, 2, FALSE), ""), "")</f>
        <v/>
      </c>
    </row>
    <row r="101" ht="22.5" customHeight="1">
      <c r="A101" s="17"/>
      <c r="B101" s="19"/>
      <c r="C101" s="20"/>
      <c r="D101" s="20"/>
      <c r="E101" s="20"/>
      <c r="F101" s="20"/>
      <c r="G101" s="20"/>
      <c r="H101" s="20" t="str">
        <f>IF(D101="Gasto", IFERROR(VLOOKUP(E101, Config!$F$6:$G$29, 2, FALSE), ""), "")</f>
        <v/>
      </c>
    </row>
    <row r="102" ht="22.5" customHeight="1">
      <c r="A102" s="17"/>
      <c r="B102" s="19"/>
      <c r="C102" s="20"/>
      <c r="D102" s="20"/>
      <c r="E102" s="20"/>
      <c r="F102" s="20"/>
      <c r="G102" s="20"/>
      <c r="H102" s="20" t="str">
        <f>IF(D102="Gasto", IFERROR(VLOOKUP(E102, Config!$F$6:$G$29, 2, FALSE), ""), "")</f>
        <v/>
      </c>
    </row>
    <row r="103" ht="22.5" customHeight="1">
      <c r="A103" s="17"/>
      <c r="B103" s="19"/>
      <c r="C103" s="20"/>
      <c r="D103" s="20"/>
      <c r="E103" s="20"/>
      <c r="F103" s="20"/>
      <c r="G103" s="20"/>
      <c r="H103" s="20" t="str">
        <f>IF(D103="Gasto", IFERROR(VLOOKUP(E103, Config!$F$6:$G$29, 2, FALSE), ""), "")</f>
        <v/>
      </c>
    </row>
    <row r="104" ht="22.5" customHeight="1">
      <c r="A104" s="17"/>
      <c r="B104" s="19"/>
      <c r="C104" s="20"/>
      <c r="D104" s="20"/>
      <c r="E104" s="20"/>
      <c r="F104" s="20"/>
      <c r="G104" s="20"/>
      <c r="H104" s="20" t="str">
        <f>IF(D104="Gasto", IFERROR(VLOOKUP(E104, Config!$F$6:$G$29, 2, FALSE), ""), "")</f>
        <v/>
      </c>
    </row>
    <row r="105" ht="22.5" customHeight="1">
      <c r="A105" s="17"/>
      <c r="B105" s="19"/>
      <c r="C105" s="20"/>
      <c r="D105" s="20"/>
      <c r="E105" s="20"/>
      <c r="F105" s="20"/>
      <c r="G105" s="20"/>
      <c r="H105" s="20" t="str">
        <f>IF(D105="Gasto", IFERROR(VLOOKUP(E105, Config!$F$6:$G$29, 2, FALSE), ""), "")</f>
        <v/>
      </c>
    </row>
    <row r="106" ht="22.5" customHeight="1">
      <c r="A106" s="17"/>
      <c r="B106" s="19"/>
      <c r="C106" s="20"/>
      <c r="D106" s="20"/>
      <c r="E106" s="20"/>
      <c r="F106" s="20"/>
      <c r="G106" s="20"/>
      <c r="H106" s="20" t="str">
        <f>IF(D106="Gasto", IFERROR(VLOOKUP(E106, Config!$F$6:$G$29, 2, FALSE), ""), "")</f>
        <v/>
      </c>
    </row>
    <row r="107" ht="22.5" customHeight="1">
      <c r="A107" s="17"/>
      <c r="B107" s="19"/>
      <c r="C107" s="20"/>
      <c r="D107" s="20"/>
      <c r="E107" s="20"/>
      <c r="F107" s="20"/>
      <c r="G107" s="20"/>
      <c r="H107" s="20" t="str">
        <f>IF(D107="Gasto", IFERROR(VLOOKUP(E107, Config!$F$6:$G$29, 2, FALSE), ""), "")</f>
        <v/>
      </c>
    </row>
    <row r="108" ht="22.5" customHeight="1">
      <c r="A108" s="17"/>
      <c r="B108" s="19"/>
      <c r="C108" s="20"/>
      <c r="D108" s="20"/>
      <c r="E108" s="20"/>
      <c r="F108" s="20"/>
      <c r="G108" s="20"/>
      <c r="H108" s="20" t="str">
        <f>IF(D108="Gasto", IFERROR(VLOOKUP(E108, Config!$F$6:$G$29, 2, FALSE), ""), "")</f>
        <v/>
      </c>
    </row>
    <row r="109" ht="22.5" customHeight="1">
      <c r="A109" s="17"/>
      <c r="B109" s="19"/>
      <c r="C109" s="20"/>
      <c r="D109" s="20"/>
      <c r="E109" s="20"/>
      <c r="F109" s="20"/>
      <c r="G109" s="20"/>
      <c r="H109" s="20" t="str">
        <f>IF(D109="Gasto", IFERROR(VLOOKUP(E109, Config!$F$6:$G$29, 2, FALSE), ""), "")</f>
        <v/>
      </c>
    </row>
    <row r="110" ht="22.5" customHeight="1">
      <c r="A110" s="17"/>
      <c r="B110" s="19"/>
      <c r="C110" s="20"/>
      <c r="D110" s="20"/>
      <c r="E110" s="20"/>
      <c r="F110" s="20"/>
      <c r="G110" s="20"/>
      <c r="H110" s="20" t="str">
        <f>IF(D110="Gasto", IFERROR(VLOOKUP(E110, Config!$F$6:$G$29, 2, FALSE), ""), "")</f>
        <v/>
      </c>
    </row>
    <row r="111" ht="22.5" customHeight="1">
      <c r="A111" s="17"/>
      <c r="B111" s="19"/>
      <c r="C111" s="20"/>
      <c r="D111" s="20"/>
      <c r="E111" s="20"/>
      <c r="F111" s="20"/>
      <c r="G111" s="20"/>
      <c r="H111" s="20" t="str">
        <f>IF(D111="Gasto", IFERROR(VLOOKUP(E111, Config!$F$6:$G$29, 2, FALSE), ""), "")</f>
        <v/>
      </c>
    </row>
    <row r="112" ht="22.5" customHeight="1">
      <c r="A112" s="17"/>
      <c r="B112" s="19"/>
      <c r="C112" s="20"/>
      <c r="D112" s="20"/>
      <c r="E112" s="20"/>
      <c r="F112" s="20"/>
      <c r="G112" s="20"/>
      <c r="H112" s="20" t="str">
        <f>IF(D112="Gasto", IFERROR(VLOOKUP(E112, Config!$F$6:$G$29, 2, FALSE), ""), "")</f>
        <v/>
      </c>
    </row>
    <row r="113" ht="22.5" customHeight="1">
      <c r="A113" s="17"/>
      <c r="B113" s="19"/>
      <c r="C113" s="20"/>
      <c r="D113" s="20"/>
      <c r="E113" s="20"/>
      <c r="F113" s="20"/>
      <c r="G113" s="20"/>
      <c r="H113" s="20" t="str">
        <f>IF(D113="Gasto", IFERROR(VLOOKUP(E113, Config!$F$6:$G$29, 2, FALSE), ""), "")</f>
        <v/>
      </c>
    </row>
    <row r="114" ht="22.5" customHeight="1">
      <c r="A114" s="17"/>
      <c r="B114" s="19"/>
      <c r="C114" s="20"/>
      <c r="D114" s="20"/>
      <c r="E114" s="20"/>
      <c r="F114" s="20"/>
      <c r="G114" s="20"/>
      <c r="H114" s="20" t="str">
        <f>IF(D114="Gasto", IFERROR(VLOOKUP(E114, Config!$F$6:$G$29, 2, FALSE), ""), "")</f>
        <v/>
      </c>
    </row>
    <row r="115" ht="22.5" customHeight="1">
      <c r="A115" s="17"/>
      <c r="B115" s="19"/>
      <c r="C115" s="20"/>
      <c r="D115" s="20"/>
      <c r="E115" s="20"/>
      <c r="F115" s="20"/>
      <c r="G115" s="20"/>
      <c r="H115" s="20" t="str">
        <f>IF(D115="Gasto", IFERROR(VLOOKUP(E115, Config!$F$6:$G$29, 2, FALSE), ""), "")</f>
        <v/>
      </c>
    </row>
    <row r="116" ht="22.5" customHeight="1">
      <c r="A116" s="17"/>
      <c r="B116" s="19"/>
      <c r="C116" s="20"/>
      <c r="D116" s="20"/>
      <c r="E116" s="20"/>
      <c r="F116" s="20"/>
      <c r="G116" s="20"/>
      <c r="H116" s="20" t="str">
        <f>IF(D116="Gasto", IFERROR(VLOOKUP(E116, Config!$F$6:$G$29, 2, FALSE), ""), "")</f>
        <v/>
      </c>
    </row>
    <row r="117" ht="22.5" customHeight="1">
      <c r="A117" s="17"/>
      <c r="B117" s="19"/>
      <c r="C117" s="20"/>
      <c r="D117" s="20"/>
      <c r="E117" s="20"/>
      <c r="F117" s="20"/>
      <c r="G117" s="20"/>
      <c r="H117" s="20" t="str">
        <f>IF(D117="Gasto", IFERROR(VLOOKUP(E117, Config!$F$6:$G$29, 2, FALSE), ""), "")</f>
        <v/>
      </c>
    </row>
    <row r="118" ht="22.5" customHeight="1">
      <c r="A118" s="17"/>
      <c r="B118" s="19"/>
      <c r="C118" s="20"/>
      <c r="D118" s="20"/>
      <c r="E118" s="20"/>
      <c r="F118" s="20"/>
      <c r="G118" s="20"/>
      <c r="H118" s="20" t="str">
        <f>IF(D118="Gasto", IFERROR(VLOOKUP(E118, Config!$F$6:$G$29, 2, FALSE), ""), "")</f>
        <v/>
      </c>
    </row>
    <row r="119" ht="22.5" customHeight="1">
      <c r="A119" s="17"/>
      <c r="B119" s="19"/>
      <c r="C119" s="20"/>
      <c r="D119" s="20"/>
      <c r="E119" s="20"/>
      <c r="F119" s="20"/>
      <c r="G119" s="20"/>
      <c r="H119" s="20" t="str">
        <f>IF(D119="Gasto", IFERROR(VLOOKUP(E119, Config!$F$6:$G$29, 2, FALSE), ""), "")</f>
        <v/>
      </c>
    </row>
    <row r="120" ht="22.5" customHeight="1">
      <c r="A120" s="17"/>
      <c r="B120" s="19"/>
      <c r="C120" s="20"/>
      <c r="D120" s="20"/>
      <c r="E120" s="20"/>
      <c r="F120" s="20"/>
      <c r="G120" s="20"/>
      <c r="H120" s="20" t="str">
        <f>IF(D120="Gasto", IFERROR(VLOOKUP(E120, Config!$F$6:$G$29, 2, FALSE), ""), "")</f>
        <v/>
      </c>
    </row>
    <row r="121" ht="22.5" customHeight="1">
      <c r="A121" s="17"/>
      <c r="B121" s="19"/>
      <c r="C121" s="20"/>
      <c r="D121" s="20"/>
      <c r="E121" s="20"/>
      <c r="F121" s="20"/>
      <c r="G121" s="20"/>
      <c r="H121" s="20" t="str">
        <f>IF(D121="Gasto", IFERROR(VLOOKUP(E121, Config!$F$6:$G$29, 2, FALSE), ""), "")</f>
        <v/>
      </c>
    </row>
    <row r="122" ht="22.5" customHeight="1">
      <c r="A122" s="17"/>
      <c r="B122" s="19"/>
      <c r="C122" s="20"/>
      <c r="D122" s="20"/>
      <c r="E122" s="20"/>
      <c r="F122" s="20"/>
      <c r="G122" s="20"/>
      <c r="H122" s="20" t="str">
        <f>IF(D122="Gasto", IFERROR(VLOOKUP(E122, Config!$F$6:$G$29, 2, FALSE), ""), "")</f>
        <v/>
      </c>
    </row>
    <row r="123" ht="22.5" customHeight="1">
      <c r="A123" s="17"/>
      <c r="B123" s="19"/>
      <c r="C123" s="20"/>
      <c r="D123" s="20"/>
      <c r="E123" s="20"/>
      <c r="F123" s="20"/>
      <c r="G123" s="20"/>
      <c r="H123" s="20" t="str">
        <f>IF(D123="Gasto", IFERROR(VLOOKUP(E123, Config!$F$6:$G$29, 2, FALSE), ""), "")</f>
        <v/>
      </c>
    </row>
    <row r="124" ht="22.5" customHeight="1">
      <c r="A124" s="17"/>
      <c r="B124" s="19"/>
      <c r="C124" s="20"/>
      <c r="D124" s="20"/>
      <c r="E124" s="20"/>
      <c r="F124" s="20"/>
      <c r="G124" s="20"/>
      <c r="H124" s="20" t="str">
        <f>IF(D124="Gasto", IFERROR(VLOOKUP(E124, Config!$F$6:$G$29, 2, FALSE), ""), "")</f>
        <v/>
      </c>
    </row>
    <row r="125" ht="22.5" customHeight="1">
      <c r="A125" s="17"/>
      <c r="B125" s="19"/>
      <c r="C125" s="20"/>
      <c r="D125" s="20"/>
      <c r="E125" s="20"/>
      <c r="F125" s="20"/>
      <c r="G125" s="20"/>
      <c r="H125" s="20" t="str">
        <f>IF(D125="Gasto", IFERROR(VLOOKUP(E125, Config!$F$6:$G$29, 2, FALSE), ""), "")</f>
        <v/>
      </c>
    </row>
    <row r="126" ht="22.5" customHeight="1">
      <c r="A126" s="17"/>
      <c r="B126" s="19"/>
      <c r="C126" s="20"/>
      <c r="D126" s="20"/>
      <c r="E126" s="20"/>
      <c r="F126" s="20"/>
      <c r="G126" s="20"/>
      <c r="H126" s="20" t="str">
        <f>IF(D126="Gasto", IFERROR(VLOOKUP(E126, Config!$F$6:$G$29, 2, FALSE), ""), "")</f>
        <v/>
      </c>
    </row>
    <row r="127" ht="22.5" customHeight="1">
      <c r="A127" s="17"/>
      <c r="B127" s="19"/>
      <c r="C127" s="20"/>
      <c r="D127" s="20"/>
      <c r="E127" s="20"/>
      <c r="F127" s="20"/>
      <c r="G127" s="20"/>
      <c r="H127" s="20" t="str">
        <f>IF(D127="Gasto", IFERROR(VLOOKUP(E127, Config!$F$6:$G$29, 2, FALSE), ""), "")</f>
        <v/>
      </c>
    </row>
    <row r="128" ht="22.5" customHeight="1">
      <c r="A128" s="17"/>
      <c r="B128" s="19"/>
      <c r="C128" s="20"/>
      <c r="D128" s="20"/>
      <c r="E128" s="20"/>
      <c r="F128" s="20"/>
      <c r="G128" s="20"/>
      <c r="H128" s="20" t="str">
        <f>IF(D128="Gasto", IFERROR(VLOOKUP(E128, Config!$F$6:$G$29, 2, FALSE), ""), "")</f>
        <v/>
      </c>
    </row>
    <row r="129" ht="22.5" customHeight="1">
      <c r="A129" s="17"/>
      <c r="B129" s="19"/>
      <c r="C129" s="20"/>
      <c r="D129" s="20"/>
      <c r="E129" s="20"/>
      <c r="F129" s="20"/>
      <c r="G129" s="20"/>
      <c r="H129" s="20" t="str">
        <f>IF(D129="Gasto", IFERROR(VLOOKUP(E129, Config!$F$6:$G$29, 2, FALSE), ""), "")</f>
        <v/>
      </c>
    </row>
    <row r="130" ht="22.5" customHeight="1">
      <c r="A130" s="17"/>
      <c r="B130" s="19"/>
      <c r="C130" s="20"/>
      <c r="D130" s="20"/>
      <c r="E130" s="20"/>
      <c r="F130" s="20"/>
      <c r="G130" s="20"/>
      <c r="H130" s="20" t="str">
        <f>IF(D130="Gasto", IFERROR(VLOOKUP(E130, Config!$F$6:$G$29, 2, FALSE), ""), "")</f>
        <v/>
      </c>
    </row>
    <row r="131" ht="22.5" customHeight="1">
      <c r="A131" s="17"/>
      <c r="B131" s="19"/>
      <c r="C131" s="20"/>
      <c r="D131" s="20"/>
      <c r="E131" s="20"/>
      <c r="F131" s="20"/>
      <c r="G131" s="20"/>
      <c r="H131" s="20" t="str">
        <f>IF(D131="Gasto", IFERROR(VLOOKUP(E131, Config!$F$6:$G$29, 2, FALSE), ""), "")</f>
        <v/>
      </c>
    </row>
    <row r="132" ht="22.5" customHeight="1">
      <c r="A132" s="17"/>
      <c r="B132" s="19"/>
      <c r="C132" s="20"/>
      <c r="D132" s="20"/>
      <c r="E132" s="20"/>
      <c r="F132" s="20"/>
      <c r="G132" s="20"/>
      <c r="H132" s="20" t="str">
        <f>IF(D132="Gasto", IFERROR(VLOOKUP(E132, Config!$F$6:$G$29, 2, FALSE), ""), "")</f>
        <v/>
      </c>
    </row>
    <row r="133" ht="22.5" customHeight="1">
      <c r="A133" s="17"/>
      <c r="B133" s="19"/>
      <c r="C133" s="20"/>
      <c r="D133" s="20"/>
      <c r="E133" s="20"/>
      <c r="F133" s="20"/>
      <c r="G133" s="20"/>
      <c r="H133" s="20" t="str">
        <f>IF(D133="Gasto", IFERROR(VLOOKUP(E133, Config!$F$6:$G$29, 2, FALSE), ""), "")</f>
        <v/>
      </c>
    </row>
    <row r="134" ht="22.5" customHeight="1">
      <c r="A134" s="17"/>
      <c r="B134" s="19"/>
      <c r="C134" s="20"/>
      <c r="D134" s="20"/>
      <c r="E134" s="20"/>
      <c r="F134" s="20"/>
      <c r="G134" s="20"/>
      <c r="H134" s="20" t="str">
        <f>IF(D134="Gasto", IFERROR(VLOOKUP(E134, Config!$F$6:$G$29, 2, FALSE), ""), "")</f>
        <v/>
      </c>
    </row>
    <row r="135" ht="22.5" customHeight="1">
      <c r="A135" s="17"/>
      <c r="B135" s="19"/>
      <c r="C135" s="20"/>
      <c r="D135" s="20"/>
      <c r="E135" s="20"/>
      <c r="F135" s="20"/>
      <c r="G135" s="20"/>
      <c r="H135" s="20" t="str">
        <f>IF(D135="Gasto", IFERROR(VLOOKUP(E135, Config!$F$6:$G$29, 2, FALSE), ""), "")</f>
        <v/>
      </c>
    </row>
    <row r="136" ht="22.5" customHeight="1">
      <c r="A136" s="17"/>
      <c r="B136" s="19"/>
      <c r="C136" s="20"/>
      <c r="D136" s="20"/>
      <c r="E136" s="20"/>
      <c r="F136" s="20"/>
      <c r="G136" s="20"/>
      <c r="H136" s="20" t="str">
        <f>IF(D136="Gasto", IFERROR(VLOOKUP(E136, Config!$F$6:$G$29, 2, FALSE), ""), "")</f>
        <v/>
      </c>
    </row>
    <row r="137" ht="22.5" customHeight="1">
      <c r="A137" s="17"/>
      <c r="B137" s="19"/>
      <c r="C137" s="20"/>
      <c r="D137" s="20"/>
      <c r="E137" s="20"/>
      <c r="F137" s="20"/>
      <c r="G137" s="20"/>
      <c r="H137" s="20" t="str">
        <f>IF(D137="Gasto", IFERROR(VLOOKUP(E137, Config!$F$6:$G$29, 2, FALSE), ""), "")</f>
        <v/>
      </c>
    </row>
    <row r="138" ht="22.5" customHeight="1">
      <c r="A138" s="17"/>
      <c r="B138" s="19"/>
      <c r="C138" s="20"/>
      <c r="D138" s="20"/>
      <c r="E138" s="20"/>
      <c r="F138" s="20"/>
      <c r="G138" s="20"/>
      <c r="H138" s="20" t="str">
        <f>IF(D138="Gasto", IFERROR(VLOOKUP(E138, Config!$F$6:$G$29, 2, FALSE), ""), "")</f>
        <v/>
      </c>
    </row>
    <row r="139" ht="22.5" customHeight="1">
      <c r="A139" s="17"/>
      <c r="B139" s="19"/>
      <c r="C139" s="20"/>
      <c r="D139" s="20"/>
      <c r="E139" s="20"/>
      <c r="F139" s="20"/>
      <c r="G139" s="20"/>
      <c r="H139" s="20" t="str">
        <f>IF(D139="Gasto", IFERROR(VLOOKUP(E139, Config!$F$6:$G$29, 2, FALSE), ""), "")</f>
        <v/>
      </c>
    </row>
    <row r="140" ht="22.5" customHeight="1">
      <c r="A140" s="17"/>
      <c r="B140" s="19"/>
      <c r="C140" s="20"/>
      <c r="D140" s="20"/>
      <c r="E140" s="20"/>
      <c r="F140" s="20"/>
      <c r="G140" s="20"/>
      <c r="H140" s="20" t="str">
        <f>IF(D140="Gasto", IFERROR(VLOOKUP(E140, Config!$F$6:$G$29, 2, FALSE), ""), "")</f>
        <v/>
      </c>
    </row>
    <row r="141" ht="22.5" customHeight="1">
      <c r="A141" s="17"/>
      <c r="B141" s="19"/>
      <c r="C141" s="20"/>
      <c r="D141" s="20"/>
      <c r="E141" s="20"/>
      <c r="F141" s="20"/>
      <c r="G141" s="20"/>
      <c r="H141" s="20" t="str">
        <f>IF(D141="Gasto", IFERROR(VLOOKUP(E141, Config!$F$6:$G$29, 2, FALSE), ""), "")</f>
        <v/>
      </c>
    </row>
    <row r="142" ht="22.5" customHeight="1">
      <c r="A142" s="17"/>
      <c r="B142" s="19"/>
      <c r="C142" s="20"/>
      <c r="D142" s="20"/>
      <c r="E142" s="20"/>
      <c r="F142" s="20"/>
      <c r="G142" s="20"/>
      <c r="H142" s="20" t="str">
        <f>IF(D142="Gasto", IFERROR(VLOOKUP(E142, Config!$F$6:$G$29, 2, FALSE), ""), "")</f>
        <v/>
      </c>
    </row>
    <row r="143" ht="22.5" customHeight="1">
      <c r="A143" s="17"/>
      <c r="B143" s="19"/>
      <c r="C143" s="20"/>
      <c r="D143" s="20"/>
      <c r="E143" s="20"/>
      <c r="F143" s="20"/>
      <c r="G143" s="20"/>
      <c r="H143" s="20" t="str">
        <f>IF(D143="Gasto", IFERROR(VLOOKUP(E143, Config!$F$6:$G$29, 2, FALSE), ""), "")</f>
        <v/>
      </c>
    </row>
    <row r="144" ht="22.5" customHeight="1">
      <c r="A144" s="17"/>
      <c r="B144" s="19"/>
      <c r="C144" s="20"/>
      <c r="D144" s="20"/>
      <c r="E144" s="20"/>
      <c r="F144" s="20"/>
      <c r="G144" s="20"/>
      <c r="H144" s="20" t="str">
        <f>IF(D144="Gasto", IFERROR(VLOOKUP(E144, Config!$F$6:$G$29, 2, FALSE), ""), "")</f>
        <v/>
      </c>
    </row>
    <row r="145" ht="22.5" customHeight="1">
      <c r="A145" s="17"/>
      <c r="B145" s="19"/>
      <c r="C145" s="20"/>
      <c r="D145" s="20"/>
      <c r="E145" s="20"/>
      <c r="F145" s="20"/>
      <c r="G145" s="20"/>
      <c r="H145" s="20" t="str">
        <f>IF(D145="Gasto", IFERROR(VLOOKUP(E145, Config!$F$6:$G$29, 2, FALSE), ""), "")</f>
        <v/>
      </c>
    </row>
    <row r="146" ht="22.5" customHeight="1">
      <c r="A146" s="17"/>
      <c r="B146" s="19"/>
      <c r="C146" s="20"/>
      <c r="D146" s="20"/>
      <c r="E146" s="20"/>
      <c r="F146" s="20"/>
      <c r="G146" s="20"/>
      <c r="H146" s="20" t="str">
        <f>IF(D146="Gasto", IFERROR(VLOOKUP(E146, Config!$F$6:$G$29, 2, FALSE), ""), "")</f>
        <v/>
      </c>
    </row>
    <row r="147" ht="22.5" customHeight="1">
      <c r="A147" s="17"/>
      <c r="B147" s="19"/>
      <c r="C147" s="20"/>
      <c r="D147" s="20"/>
      <c r="E147" s="20"/>
      <c r="F147" s="20"/>
      <c r="G147" s="20"/>
      <c r="H147" s="20" t="str">
        <f>IF(D147="Gasto", IFERROR(VLOOKUP(E147, Config!$F$6:$G$29, 2, FALSE), ""), "")</f>
        <v/>
      </c>
    </row>
    <row r="148" ht="22.5" customHeight="1">
      <c r="A148" s="17"/>
      <c r="B148" s="19"/>
      <c r="C148" s="20"/>
      <c r="D148" s="20"/>
      <c r="E148" s="20"/>
      <c r="F148" s="20"/>
      <c r="G148" s="20"/>
      <c r="H148" s="20" t="str">
        <f>IF(D148="Gasto", IFERROR(VLOOKUP(E148, Config!$F$6:$G$29, 2, FALSE), ""), "")</f>
        <v/>
      </c>
    </row>
    <row r="149" ht="22.5" customHeight="1">
      <c r="A149" s="17"/>
      <c r="B149" s="19"/>
      <c r="C149" s="20"/>
      <c r="D149" s="20"/>
      <c r="E149" s="20"/>
      <c r="F149" s="20"/>
      <c r="G149" s="20"/>
      <c r="H149" s="20" t="str">
        <f>IF(D149="Gasto", IFERROR(VLOOKUP(E149, Config!$F$6:$G$29, 2, FALSE), ""), "")</f>
        <v/>
      </c>
    </row>
    <row r="150" ht="22.5" customHeight="1">
      <c r="A150" s="17"/>
      <c r="B150" s="19"/>
      <c r="C150" s="20"/>
      <c r="D150" s="20"/>
      <c r="E150" s="20"/>
      <c r="F150" s="20"/>
      <c r="G150" s="20"/>
      <c r="H150" s="20" t="str">
        <f>IF(D150="Gasto", IFERROR(VLOOKUP(E150, Config!$F$6:$G$29, 2, FALSE), ""), "")</f>
        <v/>
      </c>
    </row>
    <row r="151" ht="22.5" customHeight="1">
      <c r="A151" s="17"/>
      <c r="B151" s="19"/>
      <c r="C151" s="20"/>
      <c r="D151" s="20"/>
      <c r="E151" s="20"/>
      <c r="F151" s="20"/>
      <c r="G151" s="20"/>
      <c r="H151" s="20" t="str">
        <f>IF(D151="Gasto", IFERROR(VLOOKUP(E151, Config!$F$6:$G$29, 2, FALSE), ""), "")</f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 ht="25.5" customHeight="1">
      <c r="A1" s="2" t="s">
        <v>1</v>
      </c>
    </row>
    <row r="3" ht="15.0" customHeight="1">
      <c r="A3" s="4" t="s">
        <v>4</v>
      </c>
    </row>
    <row r="4" ht="45.0" customHeight="1">
      <c r="A4" s="5" t="s">
        <v>8</v>
      </c>
    </row>
    <row r="6" ht="30.0" customHeight="1">
      <c r="A6" s="5" t="s">
        <v>12</v>
      </c>
    </row>
    <row r="8" ht="15.0" customHeight="1">
      <c r="A8" s="4" t="s">
        <v>15</v>
      </c>
    </row>
    <row r="9" ht="30.0" customHeight="1">
      <c r="A9" s="5" t="s">
        <v>18</v>
      </c>
    </row>
    <row r="10" ht="45.0" customHeight="1">
      <c r="A10" s="5" t="s">
        <v>20</v>
      </c>
    </row>
    <row r="12" ht="30.0" customHeight="1">
      <c r="A12" s="5" t="s">
        <v>22</v>
      </c>
    </row>
    <row r="14" ht="15.0" customHeight="1">
      <c r="A14" s="4" t="s">
        <v>24</v>
      </c>
    </row>
    <row r="15" ht="30.0" customHeight="1">
      <c r="A15" s="5" t="s">
        <v>25</v>
      </c>
    </row>
    <row r="17" ht="60.0" customHeight="1">
      <c r="A17" s="11" t="s">
        <v>27</v>
      </c>
    </row>
    <row r="19" ht="45.0" customHeight="1">
      <c r="A19" s="11" t="s">
        <v>31</v>
      </c>
    </row>
    <row r="21" ht="15.0" customHeight="1">
      <c r="A21" s="4" t="s">
        <v>33</v>
      </c>
    </row>
    <row r="22" ht="45.0" customHeight="1">
      <c r="A22" s="5" t="s">
        <v>35</v>
      </c>
    </row>
    <row r="23" ht="15.75" customHeight="1"/>
    <row r="24" ht="75.0" customHeight="1">
      <c r="A24" s="5" t="s">
        <v>38</v>
      </c>
    </row>
    <row r="25" ht="15.75" customHeight="1"/>
    <row r="26" ht="15.0" customHeight="1">
      <c r="A26" s="4" t="s">
        <v>41</v>
      </c>
    </row>
    <row r="27" ht="60.0" customHeight="1">
      <c r="A27" s="5" t="s">
        <v>43</v>
      </c>
    </row>
    <row r="28" ht="15.75" customHeight="1"/>
    <row r="29" ht="15.0" customHeight="1">
      <c r="A29" s="5" t="s">
        <v>46</v>
      </c>
    </row>
    <row r="30" ht="30.0" customHeight="1">
      <c r="A30" s="5" t="s">
        <v>50</v>
      </c>
    </row>
    <row r="31" ht="45.0" customHeight="1">
      <c r="A31" s="5" t="s">
        <v>54</v>
      </c>
    </row>
    <row r="32" ht="105.0" customHeight="1">
      <c r="A32" s="5" t="s">
        <v>57</v>
      </c>
    </row>
    <row r="33" ht="15.75" customHeight="1"/>
    <row r="34" ht="30.0" customHeight="1">
      <c r="A34" s="5" t="s">
        <v>60</v>
      </c>
    </row>
    <row r="35" ht="15.75" customHeight="1"/>
    <row r="36" ht="15.0" customHeight="1">
      <c r="A36" s="4" t="s">
        <v>62</v>
      </c>
    </row>
    <row r="37" ht="45.0" customHeight="1">
      <c r="A37" s="5" t="s">
        <v>64</v>
      </c>
    </row>
    <row r="38" ht="15.75" customHeight="1"/>
    <row r="39" ht="30.0" customHeight="1">
      <c r="A39" s="5" t="s">
        <v>66</v>
      </c>
    </row>
    <row r="40" ht="15.75" customHeight="1"/>
    <row r="41" ht="15.75" customHeight="1">
      <c r="A41" s="4" t="s">
        <v>68</v>
      </c>
    </row>
    <row r="42" ht="45.0" customHeight="1">
      <c r="A42" s="5" t="s">
        <v>69</v>
      </c>
    </row>
    <row r="43" ht="15.75" customHeight="1"/>
    <row r="44" ht="15.75" customHeight="1">
      <c r="A44" s="4" t="s">
        <v>70</v>
      </c>
    </row>
    <row r="45" ht="75.0" customHeight="1">
      <c r="A45" s="5" t="s">
        <v>73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3.0"/>
    <col customWidth="1" min="3" max="3" width="12.0"/>
    <col customWidth="1" min="4" max="4" width="34.0"/>
    <col customWidth="1" min="5" max="5" width="12.0"/>
    <col customWidth="1" min="6" max="6" width="23.0"/>
    <col customWidth="1" min="7" max="8" width="12.0"/>
    <col customWidth="1" min="9" max="9" width="13.0"/>
  </cols>
  <sheetData>
    <row r="1" ht="23.25" customHeight="1">
      <c r="A1" s="1" t="s">
        <v>0</v>
      </c>
    </row>
    <row r="2" ht="16.5" customHeight="1">
      <c r="A2" s="3" t="s">
        <v>2</v>
      </c>
    </row>
    <row r="4" ht="17.25" customHeight="1">
      <c r="A4" s="4" t="s">
        <v>3</v>
      </c>
      <c r="D4" s="4" t="s">
        <v>6</v>
      </c>
      <c r="F4" s="4" t="s">
        <v>7</v>
      </c>
      <c r="I4" s="4" t="s">
        <v>9</v>
      </c>
    </row>
    <row r="5" ht="16.5" customHeight="1">
      <c r="A5" s="6" t="s">
        <v>11</v>
      </c>
      <c r="B5" s="6" t="s">
        <v>13</v>
      </c>
      <c r="D5" s="6" t="s">
        <v>16</v>
      </c>
      <c r="F5" s="6" t="s">
        <v>17</v>
      </c>
      <c r="G5" s="6" t="s">
        <v>19</v>
      </c>
      <c r="I5" s="6" t="s">
        <v>21</v>
      </c>
    </row>
    <row r="6" ht="15.0" customHeight="1">
      <c r="A6" s="8" t="s">
        <v>23</v>
      </c>
      <c r="B6" s="10">
        <v>0.5</v>
      </c>
      <c r="D6" s="8" t="s">
        <v>29</v>
      </c>
      <c r="F6" s="8" t="s">
        <v>32</v>
      </c>
      <c r="G6" s="13" t="s">
        <v>34</v>
      </c>
      <c r="I6" s="8" t="s">
        <v>37</v>
      </c>
    </row>
    <row r="7" ht="15.0" customHeight="1">
      <c r="A7" s="8" t="s">
        <v>39</v>
      </c>
      <c r="B7" s="10">
        <v>0.3</v>
      </c>
      <c r="D7" s="8" t="s">
        <v>44</v>
      </c>
      <c r="F7" s="8" t="s">
        <v>47</v>
      </c>
      <c r="G7" s="13" t="s">
        <v>34</v>
      </c>
      <c r="I7" s="8" t="s">
        <v>49</v>
      </c>
    </row>
    <row r="8" ht="15.0" customHeight="1">
      <c r="A8" s="8" t="s">
        <v>52</v>
      </c>
      <c r="B8" s="10">
        <v>0.2</v>
      </c>
      <c r="D8" s="8" t="s">
        <v>58</v>
      </c>
      <c r="F8" s="8" t="s">
        <v>61</v>
      </c>
      <c r="G8" s="13" t="s">
        <v>34</v>
      </c>
      <c r="I8" s="8" t="s">
        <v>65</v>
      </c>
    </row>
    <row r="9" ht="15.0" customHeight="1">
      <c r="A9" s="18" t="s">
        <v>67</v>
      </c>
      <c r="D9" s="8" t="s">
        <v>71</v>
      </c>
      <c r="F9" s="8" t="s">
        <v>72</v>
      </c>
      <c r="G9" s="13" t="s">
        <v>34</v>
      </c>
      <c r="I9" s="8" t="s">
        <v>36</v>
      </c>
    </row>
    <row r="10" ht="15.0" customHeight="1">
      <c r="D10" s="8" t="s">
        <v>75</v>
      </c>
      <c r="F10" s="8" t="s">
        <v>76</v>
      </c>
      <c r="G10" s="13" t="s">
        <v>34</v>
      </c>
      <c r="I10" s="8" t="s">
        <v>63</v>
      </c>
    </row>
    <row r="11" ht="15.0" customHeight="1">
      <c r="F11" s="8" t="s">
        <v>78</v>
      </c>
      <c r="G11" s="13" t="s">
        <v>34</v>
      </c>
      <c r="I11" s="8" t="s">
        <v>77</v>
      </c>
    </row>
    <row r="12" ht="15.0" customHeight="1">
      <c r="F12" s="8" t="s">
        <v>79</v>
      </c>
      <c r="G12" s="13" t="s">
        <v>34</v>
      </c>
      <c r="I12" s="8" t="s">
        <v>80</v>
      </c>
    </row>
    <row r="13" ht="15.0" customHeight="1">
      <c r="F13" s="8" t="s">
        <v>81</v>
      </c>
      <c r="G13" s="13" t="s">
        <v>34</v>
      </c>
      <c r="I13" s="8" t="s">
        <v>82</v>
      </c>
    </row>
    <row r="14" ht="15.0" customHeight="1">
      <c r="F14" s="8" t="s">
        <v>83</v>
      </c>
      <c r="G14" s="13" t="s">
        <v>34</v>
      </c>
      <c r="I14" s="8" t="s">
        <v>84</v>
      </c>
    </row>
    <row r="15" ht="15.0" customHeight="1">
      <c r="F15" s="8" t="s">
        <v>85</v>
      </c>
      <c r="G15" s="13" t="s">
        <v>34</v>
      </c>
      <c r="I15" s="8" t="s">
        <v>87</v>
      </c>
    </row>
    <row r="16" ht="15.0" customHeight="1">
      <c r="F16" s="8" t="s">
        <v>88</v>
      </c>
      <c r="G16" s="13" t="s">
        <v>34</v>
      </c>
      <c r="I16" s="8" t="s">
        <v>89</v>
      </c>
    </row>
    <row r="17" ht="15.0" customHeight="1">
      <c r="F17" s="8" t="s">
        <v>90</v>
      </c>
      <c r="G17" s="13" t="s">
        <v>34</v>
      </c>
      <c r="I17" s="8" t="s">
        <v>92</v>
      </c>
    </row>
    <row r="18" ht="15.0" customHeight="1">
      <c r="F18" s="24" t="s">
        <v>94</v>
      </c>
      <c r="G18" s="24" t="s">
        <v>34</v>
      </c>
    </row>
    <row r="19" ht="15.0" customHeight="1">
      <c r="F19" s="24" t="s">
        <v>96</v>
      </c>
      <c r="G19" s="24" t="s">
        <v>34</v>
      </c>
    </row>
    <row r="20" ht="15.0" customHeight="1">
      <c r="F20" s="24" t="s">
        <v>97</v>
      </c>
      <c r="G20" s="24" t="s">
        <v>34</v>
      </c>
    </row>
    <row r="21" ht="15.0" customHeight="1">
      <c r="F21" s="24" t="s">
        <v>100</v>
      </c>
      <c r="G21" s="24" t="s">
        <v>34</v>
      </c>
    </row>
    <row r="22" ht="15.0" customHeight="1">
      <c r="F22" s="24" t="s">
        <v>101</v>
      </c>
      <c r="G22" s="24" t="s">
        <v>34</v>
      </c>
    </row>
    <row r="23" ht="15.0" customHeight="1">
      <c r="F23" s="24" t="s">
        <v>102</v>
      </c>
      <c r="G23" s="24" t="s">
        <v>103</v>
      </c>
    </row>
    <row r="24" ht="15.0" customHeight="1">
      <c r="F24" s="24" t="s">
        <v>104</v>
      </c>
      <c r="G24" s="24" t="s">
        <v>103</v>
      </c>
    </row>
    <row r="25" ht="15.0" customHeight="1">
      <c r="F25" s="24" t="s">
        <v>105</v>
      </c>
      <c r="G25" s="24" t="s">
        <v>103</v>
      </c>
    </row>
    <row r="26" ht="15.0" customHeight="1">
      <c r="F26" s="24" t="s">
        <v>107</v>
      </c>
      <c r="G26" s="24" t="s">
        <v>103</v>
      </c>
    </row>
    <row r="27" ht="15.0" customHeight="1">
      <c r="F27" s="24" t="s">
        <v>108</v>
      </c>
      <c r="G27" s="24" t="s">
        <v>103</v>
      </c>
    </row>
    <row r="28" ht="15.0" customHeight="1">
      <c r="F28" s="24" t="s">
        <v>109</v>
      </c>
      <c r="G28" s="24" t="s">
        <v>103</v>
      </c>
    </row>
    <row r="29" ht="15.0" customHeight="1">
      <c r="F29" s="24" t="s">
        <v>93</v>
      </c>
      <c r="G29" s="24" t="s">
        <v>103</v>
      </c>
    </row>
    <row r="30" ht="15.75" customHeight="1">
      <c r="F30" s="29" t="s">
        <v>111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6" width="8.71"/>
  </cols>
  <sheetData>
    <row r="1" ht="23.25" customHeight="1">
      <c r="A1" s="1" t="s">
        <v>5</v>
      </c>
    </row>
    <row r="2" ht="16.5" customHeight="1">
      <c r="A2" s="3" t="s">
        <v>10</v>
      </c>
    </row>
    <row r="4" ht="16.5" customHeight="1">
      <c r="A4" s="7" t="s">
        <v>14</v>
      </c>
      <c r="B4" s="7" t="s">
        <v>21</v>
      </c>
      <c r="C4" s="9" t="s">
        <v>16</v>
      </c>
      <c r="D4" s="9" t="s">
        <v>26</v>
      </c>
      <c r="E4" s="9" t="s">
        <v>28</v>
      </c>
    </row>
    <row r="5" ht="15.0" customHeight="1">
      <c r="A5" s="12">
        <v>46113.0</v>
      </c>
      <c r="B5" s="14" t="s">
        <v>36</v>
      </c>
      <c r="C5" s="8" t="s">
        <v>40</v>
      </c>
      <c r="D5" s="8"/>
      <c r="E5" s="16">
        <v>750000.0</v>
      </c>
    </row>
    <row r="6" ht="15.0" customHeight="1">
      <c r="A6" s="12">
        <v>46122.0</v>
      </c>
      <c r="B6" s="14" t="s">
        <v>36</v>
      </c>
      <c r="C6" s="8" t="s">
        <v>55</v>
      </c>
      <c r="D6" s="8"/>
      <c r="E6" s="16">
        <v>1155000.0</v>
      </c>
    </row>
    <row r="7" ht="15.0" customHeight="1">
      <c r="A7" s="12">
        <v>46144.0</v>
      </c>
      <c r="B7" s="14" t="s">
        <v>63</v>
      </c>
      <c r="C7" s="8" t="s">
        <v>40</v>
      </c>
      <c r="D7" s="8"/>
      <c r="E7" s="16">
        <v>825000.0</v>
      </c>
    </row>
    <row r="8" ht="15.0" customHeight="1">
      <c r="A8" s="12">
        <v>46144.0</v>
      </c>
      <c r="B8" s="14" t="s">
        <v>63</v>
      </c>
      <c r="C8" s="8" t="s">
        <v>55</v>
      </c>
      <c r="D8" s="8"/>
      <c r="E8" s="16">
        <v>1155000.0</v>
      </c>
    </row>
    <row r="9" ht="15.0" customHeight="1">
      <c r="A9" s="12">
        <v>46144.0</v>
      </c>
      <c r="B9" s="14" t="s">
        <v>63</v>
      </c>
      <c r="C9" s="8" t="s">
        <v>74</v>
      </c>
      <c r="D9" s="8"/>
      <c r="E9" s="16">
        <v>300000.0</v>
      </c>
    </row>
    <row r="10" ht="15.0" customHeight="1">
      <c r="A10" s="12">
        <v>46172.0</v>
      </c>
      <c r="B10" s="14" t="s">
        <v>77</v>
      </c>
      <c r="C10" s="8" t="s">
        <v>40</v>
      </c>
      <c r="D10" s="8"/>
      <c r="E10" s="16">
        <v>850000.0</v>
      </c>
    </row>
    <row r="11" ht="15.0" customHeight="1">
      <c r="A11" s="12">
        <v>46172.0</v>
      </c>
      <c r="B11" s="14" t="s">
        <v>77</v>
      </c>
      <c r="C11" s="8" t="s">
        <v>55</v>
      </c>
      <c r="D11" s="8"/>
      <c r="E11" s="16">
        <v>1155000.0</v>
      </c>
    </row>
    <row r="12" ht="15.0" customHeight="1">
      <c r="A12" s="12">
        <v>46172.0</v>
      </c>
      <c r="B12" s="14" t="s">
        <v>77</v>
      </c>
      <c r="C12" s="8" t="s">
        <v>74</v>
      </c>
      <c r="D12" s="8"/>
      <c r="E12" s="16">
        <v>300000.0</v>
      </c>
    </row>
    <row r="13" ht="15.0" customHeight="1">
      <c r="A13" s="12">
        <v>46174.0</v>
      </c>
      <c r="B13" s="14" t="s">
        <v>80</v>
      </c>
      <c r="C13" s="8" t="s">
        <v>40</v>
      </c>
      <c r="D13" s="8" t="s">
        <v>86</v>
      </c>
      <c r="E13" s="16">
        <v>1275000.0</v>
      </c>
    </row>
    <row r="14" ht="15.0" customHeight="1">
      <c r="A14" s="12">
        <v>46174.0</v>
      </c>
      <c r="B14" s="14" t="s">
        <v>80</v>
      </c>
      <c r="C14" s="8" t="s">
        <v>55</v>
      </c>
      <c r="D14" s="8"/>
      <c r="E14" s="16">
        <v>575000.0</v>
      </c>
    </row>
    <row r="15" ht="15.0" customHeight="1">
      <c r="A15" s="12">
        <v>46174.0</v>
      </c>
      <c r="B15" s="14" t="s">
        <v>80</v>
      </c>
      <c r="C15" s="8" t="s">
        <v>74</v>
      </c>
      <c r="D15" s="8"/>
      <c r="E15" s="16">
        <v>300000.0</v>
      </c>
    </row>
    <row r="16" ht="15.0" customHeight="1">
      <c r="A16" s="12">
        <v>46174.0</v>
      </c>
      <c r="B16" s="14" t="s">
        <v>80</v>
      </c>
      <c r="C16" s="8" t="s">
        <v>98</v>
      </c>
      <c r="D16" s="8" t="s">
        <v>99</v>
      </c>
      <c r="E16" s="16">
        <v>1936930.0</v>
      </c>
    </row>
    <row r="17" ht="15.0" customHeight="1">
      <c r="A17" s="25">
        <v>46219.0</v>
      </c>
      <c r="B17" s="14" t="s">
        <v>80</v>
      </c>
      <c r="C17" s="26" t="s">
        <v>71</v>
      </c>
      <c r="D17" s="26" t="s">
        <v>106</v>
      </c>
      <c r="E17" s="27">
        <v>103000.0</v>
      </c>
    </row>
    <row r="18" ht="15.0" customHeight="1">
      <c r="A18" s="28">
        <v>46235.0</v>
      </c>
      <c r="B18" s="29" t="s">
        <v>82</v>
      </c>
      <c r="C18" s="29" t="s">
        <v>29</v>
      </c>
      <c r="D18" s="30"/>
      <c r="E18" s="31">
        <v>1821000.0</v>
      </c>
    </row>
    <row r="19" ht="15.0" customHeight="1">
      <c r="A19" s="25">
        <v>46235.0</v>
      </c>
      <c r="B19" s="14" t="s">
        <v>82</v>
      </c>
      <c r="C19" s="26" t="s">
        <v>58</v>
      </c>
      <c r="D19" s="8"/>
      <c r="E19" s="27">
        <v>950000.0</v>
      </c>
    </row>
    <row r="20" ht="15.0" customHeight="1">
      <c r="A20" s="12"/>
      <c r="B20" s="13"/>
      <c r="C20" s="8"/>
      <c r="D20" s="8"/>
      <c r="E20" s="16"/>
    </row>
    <row r="21" ht="15.0" customHeight="1">
      <c r="A21" s="12"/>
      <c r="B21" s="13"/>
      <c r="C21" s="8"/>
      <c r="D21" s="8"/>
      <c r="E21" s="16"/>
    </row>
    <row r="22" ht="15.0" customHeight="1">
      <c r="A22" s="12"/>
      <c r="B22" s="13"/>
      <c r="C22" s="8"/>
      <c r="D22" s="8"/>
      <c r="E22" s="16"/>
    </row>
    <row r="23" ht="15.0" customHeight="1">
      <c r="A23" s="12"/>
      <c r="B23" s="13"/>
      <c r="C23" s="8"/>
      <c r="D23" s="8"/>
      <c r="E23" s="16"/>
    </row>
    <row r="24" ht="15.0" customHeight="1">
      <c r="A24" s="12"/>
      <c r="B24" s="13"/>
      <c r="C24" s="8"/>
      <c r="D24" s="8"/>
      <c r="E24" s="16"/>
    </row>
    <row r="25" ht="15.0" customHeight="1">
      <c r="A25" s="12"/>
      <c r="B25" s="13"/>
      <c r="C25" s="8"/>
      <c r="D25" s="8"/>
      <c r="E25" s="16"/>
    </row>
    <row r="26" ht="15.0" customHeight="1">
      <c r="A26" s="12"/>
      <c r="B26" s="13"/>
      <c r="C26" s="8"/>
      <c r="D26" s="8"/>
      <c r="E26" s="16"/>
    </row>
    <row r="27" ht="15.0" customHeight="1">
      <c r="A27" s="12"/>
      <c r="B27" s="13"/>
      <c r="C27" s="8"/>
      <c r="D27" s="8"/>
      <c r="E27" s="16"/>
    </row>
    <row r="28" ht="15.0" customHeight="1">
      <c r="A28" s="12"/>
      <c r="B28" s="13"/>
      <c r="C28" s="8"/>
      <c r="D28" s="8"/>
      <c r="E28" s="16"/>
    </row>
    <row r="29" ht="15.0" customHeight="1">
      <c r="A29" s="12"/>
      <c r="B29" s="13"/>
      <c r="C29" s="8"/>
      <c r="D29" s="8"/>
      <c r="E29" s="16"/>
    </row>
    <row r="30" ht="15.0" customHeight="1">
      <c r="A30" s="12"/>
      <c r="B30" s="13"/>
      <c r="C30" s="8"/>
      <c r="D30" s="8"/>
      <c r="E30" s="16"/>
    </row>
    <row r="31" ht="15.0" customHeight="1">
      <c r="A31" s="12"/>
      <c r="B31" s="13"/>
      <c r="C31" s="8"/>
      <c r="D31" s="8"/>
      <c r="E31" s="16"/>
    </row>
    <row r="32" ht="15.0" customHeight="1">
      <c r="A32" s="12"/>
      <c r="B32" s="13"/>
      <c r="C32" s="8"/>
      <c r="D32" s="8"/>
      <c r="E32" s="16"/>
    </row>
    <row r="33" ht="15.0" customHeight="1">
      <c r="A33" s="12"/>
      <c r="B33" s="13"/>
      <c r="C33" s="8"/>
      <c r="D33" s="8"/>
      <c r="E33" s="16"/>
    </row>
    <row r="34" ht="15.0" customHeight="1">
      <c r="A34" s="12"/>
      <c r="B34" s="13"/>
      <c r="C34" s="8"/>
      <c r="D34" s="8"/>
      <c r="E34" s="16"/>
    </row>
    <row r="35" ht="15.0" customHeight="1">
      <c r="A35" s="12"/>
      <c r="B35" s="13"/>
      <c r="C35" s="8"/>
      <c r="D35" s="8"/>
      <c r="E35" s="16"/>
    </row>
    <row r="36" ht="15.0" customHeight="1">
      <c r="A36" s="12"/>
      <c r="B36" s="13"/>
      <c r="C36" s="8"/>
      <c r="D36" s="8"/>
      <c r="E36" s="16"/>
    </row>
    <row r="37" ht="15.0" customHeight="1">
      <c r="A37" s="12"/>
      <c r="B37" s="13"/>
      <c r="C37" s="8"/>
      <c r="D37" s="8"/>
      <c r="E37" s="16"/>
    </row>
    <row r="38" ht="15.0" customHeight="1">
      <c r="A38" s="12"/>
      <c r="B38" s="13"/>
      <c r="C38" s="8"/>
      <c r="D38" s="8"/>
      <c r="E38" s="16"/>
    </row>
    <row r="39" ht="15.0" customHeight="1">
      <c r="A39" s="12"/>
      <c r="B39" s="13"/>
      <c r="C39" s="8"/>
      <c r="D39" s="8"/>
      <c r="E39" s="16"/>
    </row>
    <row r="40" ht="15.0" customHeight="1">
      <c r="A40" s="12"/>
      <c r="B40" s="13"/>
      <c r="C40" s="8"/>
      <c r="D40" s="8"/>
      <c r="E40" s="16"/>
    </row>
    <row r="41" ht="15.0" customHeight="1">
      <c r="A41" s="12"/>
      <c r="B41" s="13"/>
      <c r="C41" s="8"/>
      <c r="D41" s="8"/>
      <c r="E41" s="16"/>
    </row>
    <row r="42" ht="15.0" customHeight="1">
      <c r="A42" s="12"/>
      <c r="B42" s="13"/>
      <c r="C42" s="8"/>
      <c r="D42" s="8"/>
      <c r="E42" s="16"/>
    </row>
    <row r="43" ht="15.0" customHeight="1">
      <c r="A43" s="12"/>
      <c r="B43" s="13"/>
      <c r="C43" s="8"/>
      <c r="D43" s="8"/>
      <c r="E43" s="16"/>
    </row>
    <row r="44" ht="15.0" customHeight="1">
      <c r="A44" s="12"/>
      <c r="B44" s="13"/>
      <c r="C44" s="8"/>
      <c r="D44" s="8"/>
      <c r="E44" s="16"/>
    </row>
    <row r="45" ht="15.0" customHeight="1">
      <c r="A45" s="12"/>
      <c r="B45" s="13"/>
      <c r="C45" s="8"/>
      <c r="D45" s="8"/>
      <c r="E45" s="16"/>
    </row>
    <row r="46" ht="15.0" customHeight="1">
      <c r="A46" s="12"/>
      <c r="B46" s="13"/>
      <c r="C46" s="8"/>
      <c r="D46" s="8"/>
      <c r="E46" s="16"/>
    </row>
    <row r="47" ht="15.0" customHeight="1">
      <c r="A47" s="12"/>
      <c r="B47" s="13"/>
      <c r="C47" s="8"/>
      <c r="D47" s="8"/>
      <c r="E47" s="16"/>
    </row>
    <row r="48" ht="15.0" customHeight="1">
      <c r="A48" s="12"/>
      <c r="B48" s="13"/>
      <c r="C48" s="8"/>
      <c r="D48" s="8"/>
      <c r="E48" s="16"/>
    </row>
    <row r="49" ht="15.0" customHeight="1">
      <c r="A49" s="12"/>
      <c r="B49" s="13"/>
      <c r="C49" s="8"/>
      <c r="D49" s="8"/>
      <c r="E49" s="16"/>
    </row>
    <row r="50" ht="15.0" customHeight="1">
      <c r="A50" s="12"/>
      <c r="B50" s="13"/>
      <c r="C50" s="8"/>
      <c r="D50" s="8"/>
      <c r="E50" s="16"/>
    </row>
    <row r="51" ht="15.0" customHeight="1">
      <c r="A51" s="12"/>
      <c r="B51" s="13"/>
      <c r="C51" s="8"/>
      <c r="D51" s="8"/>
      <c r="E51" s="16"/>
    </row>
    <row r="52" ht="15.0" customHeight="1">
      <c r="A52" s="12"/>
      <c r="B52" s="13"/>
      <c r="C52" s="8"/>
      <c r="D52" s="8"/>
      <c r="E52" s="16"/>
    </row>
    <row r="53" ht="15.0" customHeight="1">
      <c r="A53" s="12"/>
      <c r="B53" s="13"/>
      <c r="C53" s="8"/>
      <c r="D53" s="8"/>
      <c r="E53" s="16"/>
    </row>
    <row r="54" ht="15.0" customHeight="1">
      <c r="A54" s="12"/>
      <c r="B54" s="13"/>
      <c r="C54" s="8"/>
      <c r="D54" s="8"/>
      <c r="E54" s="16"/>
    </row>
    <row r="55" ht="15.0" customHeight="1">
      <c r="A55" s="12"/>
      <c r="B55" s="13"/>
      <c r="C55" s="8"/>
      <c r="D55" s="8"/>
      <c r="E55" s="16"/>
    </row>
    <row r="56" ht="15.0" customHeight="1">
      <c r="A56" s="12"/>
      <c r="B56" s="13"/>
      <c r="C56" s="8"/>
      <c r="D56" s="8"/>
      <c r="E56" s="16"/>
    </row>
    <row r="57" ht="15.0" customHeight="1">
      <c r="A57" s="12"/>
      <c r="B57" s="13"/>
      <c r="C57" s="8"/>
      <c r="D57" s="8"/>
      <c r="E57" s="16"/>
    </row>
    <row r="58" ht="15.0" customHeight="1">
      <c r="A58" s="12"/>
      <c r="B58" s="13"/>
      <c r="C58" s="8"/>
      <c r="D58" s="8"/>
      <c r="E58" s="16"/>
    </row>
    <row r="59" ht="15.0" customHeight="1">
      <c r="A59" s="12"/>
      <c r="B59" s="13"/>
      <c r="C59" s="8"/>
      <c r="D59" s="8"/>
      <c r="E59" s="16"/>
    </row>
    <row r="60" ht="15.0" customHeight="1">
      <c r="A60" s="12"/>
      <c r="B60" s="13"/>
      <c r="C60" s="8"/>
      <c r="D60" s="8"/>
      <c r="E60" s="16"/>
    </row>
    <row r="61" ht="15.0" customHeight="1">
      <c r="A61" s="12"/>
      <c r="B61" s="13"/>
      <c r="C61" s="8"/>
      <c r="D61" s="8"/>
      <c r="E61" s="16"/>
    </row>
    <row r="62" ht="15.0" customHeight="1">
      <c r="A62" s="12"/>
      <c r="B62" s="13"/>
      <c r="C62" s="8"/>
      <c r="D62" s="8"/>
      <c r="E62" s="16"/>
    </row>
    <row r="63" ht="15.0" customHeight="1">
      <c r="A63" s="12"/>
      <c r="B63" s="13"/>
      <c r="C63" s="8"/>
      <c r="D63" s="8"/>
      <c r="E63" s="16"/>
    </row>
    <row r="64" ht="15.0" customHeight="1">
      <c r="A64" s="12"/>
      <c r="B64" s="13"/>
      <c r="C64" s="8"/>
      <c r="D64" s="8"/>
      <c r="E64" s="16"/>
    </row>
    <row r="65" ht="15.0" customHeight="1">
      <c r="A65" s="12"/>
      <c r="B65" s="13"/>
      <c r="C65" s="8"/>
      <c r="D65" s="8"/>
      <c r="E65" s="16"/>
    </row>
    <row r="66" ht="15.0" customHeight="1">
      <c r="A66" s="12"/>
      <c r="B66" s="13"/>
      <c r="C66" s="8"/>
      <c r="D66" s="8"/>
      <c r="E66" s="16"/>
    </row>
    <row r="67" ht="15.0" customHeight="1">
      <c r="A67" s="12"/>
      <c r="B67" s="13"/>
      <c r="C67" s="8"/>
      <c r="D67" s="8"/>
      <c r="E67" s="16"/>
    </row>
    <row r="68" ht="15.0" customHeight="1">
      <c r="A68" s="12"/>
      <c r="B68" s="13"/>
      <c r="C68" s="8"/>
      <c r="D68" s="8"/>
      <c r="E68" s="16"/>
    </row>
    <row r="69" ht="15.0" customHeight="1">
      <c r="A69" s="12"/>
      <c r="B69" s="13"/>
      <c r="C69" s="8"/>
      <c r="D69" s="8"/>
      <c r="E69" s="16"/>
    </row>
    <row r="70" ht="15.0" customHeight="1">
      <c r="A70" s="12"/>
      <c r="B70" s="13"/>
      <c r="C70" s="8"/>
      <c r="D70" s="8"/>
      <c r="E70" s="16"/>
    </row>
    <row r="71" ht="15.0" customHeight="1">
      <c r="A71" s="12"/>
      <c r="B71" s="13"/>
      <c r="C71" s="8"/>
      <c r="D71" s="8"/>
      <c r="E71" s="16"/>
    </row>
    <row r="72" ht="15.0" customHeight="1">
      <c r="A72" s="12"/>
      <c r="B72" s="13"/>
      <c r="C72" s="8"/>
      <c r="D72" s="8"/>
      <c r="E72" s="16"/>
    </row>
    <row r="73" ht="15.0" customHeight="1">
      <c r="A73" s="12"/>
      <c r="B73" s="13"/>
      <c r="C73" s="8"/>
      <c r="D73" s="8"/>
      <c r="E73" s="16"/>
    </row>
    <row r="74" ht="15.0" customHeight="1">
      <c r="A74" s="12"/>
      <c r="B74" s="13"/>
      <c r="C74" s="8"/>
      <c r="D74" s="8"/>
      <c r="E74" s="16"/>
    </row>
    <row r="75" ht="15.0" customHeight="1">
      <c r="A75" s="12"/>
      <c r="B75" s="13"/>
      <c r="C75" s="8"/>
      <c r="D75" s="8"/>
      <c r="E75" s="16"/>
    </row>
    <row r="76" ht="15.0" customHeight="1">
      <c r="A76" s="12"/>
      <c r="B76" s="13"/>
      <c r="C76" s="8"/>
      <c r="D76" s="8"/>
      <c r="E76" s="16"/>
    </row>
    <row r="77" ht="15.0" customHeight="1">
      <c r="A77" s="12"/>
      <c r="B77" s="13"/>
      <c r="C77" s="8"/>
      <c r="D77" s="8"/>
      <c r="E77" s="16"/>
    </row>
    <row r="78" ht="15.0" customHeight="1">
      <c r="A78" s="12"/>
      <c r="B78" s="13"/>
      <c r="C78" s="8"/>
      <c r="D78" s="8"/>
      <c r="E78" s="16"/>
    </row>
    <row r="79" ht="15.0" customHeight="1">
      <c r="A79" s="12"/>
      <c r="B79" s="13"/>
      <c r="C79" s="8"/>
      <c r="D79" s="8"/>
      <c r="E79" s="16"/>
    </row>
    <row r="80" ht="15.0" customHeight="1">
      <c r="A80" s="12"/>
      <c r="B80" s="13"/>
      <c r="C80" s="8"/>
      <c r="D80" s="8"/>
      <c r="E80" s="16"/>
    </row>
    <row r="81" ht="15.0" customHeight="1">
      <c r="A81" s="12"/>
      <c r="B81" s="13"/>
      <c r="C81" s="8"/>
      <c r="D81" s="8"/>
      <c r="E81" s="16"/>
    </row>
    <row r="82" ht="15.0" customHeight="1">
      <c r="A82" s="12"/>
      <c r="B82" s="13"/>
      <c r="C82" s="8"/>
      <c r="D82" s="8"/>
      <c r="E82" s="16"/>
    </row>
    <row r="83" ht="15.0" customHeight="1">
      <c r="A83" s="12"/>
      <c r="B83" s="13"/>
      <c r="C83" s="8"/>
      <c r="D83" s="8"/>
      <c r="E83" s="16"/>
    </row>
    <row r="84" ht="15.0" customHeight="1">
      <c r="A84" s="12"/>
      <c r="B84" s="13"/>
      <c r="C84" s="8"/>
      <c r="D84" s="8"/>
      <c r="E84" s="16"/>
    </row>
    <row r="85" ht="15.0" customHeight="1">
      <c r="A85" s="12"/>
      <c r="B85" s="13"/>
      <c r="C85" s="8"/>
      <c r="D85" s="8"/>
      <c r="E85" s="16"/>
    </row>
    <row r="86" ht="15.0" customHeight="1">
      <c r="A86" s="12"/>
      <c r="B86" s="13"/>
      <c r="C86" s="8"/>
      <c r="D86" s="8"/>
      <c r="E86" s="16"/>
    </row>
    <row r="87" ht="15.0" customHeight="1">
      <c r="A87" s="12"/>
      <c r="B87" s="13"/>
      <c r="C87" s="8"/>
      <c r="D87" s="8"/>
      <c r="E87" s="16"/>
    </row>
    <row r="88" ht="15.0" customHeight="1">
      <c r="A88" s="12"/>
      <c r="B88" s="13"/>
      <c r="C88" s="8"/>
      <c r="D88" s="8"/>
      <c r="E88" s="16"/>
    </row>
    <row r="89" ht="15.0" customHeight="1">
      <c r="A89" s="12"/>
      <c r="B89" s="13"/>
      <c r="C89" s="8"/>
      <c r="D89" s="8"/>
      <c r="E89" s="16"/>
    </row>
    <row r="90" ht="15.0" customHeight="1">
      <c r="A90" s="12"/>
      <c r="B90" s="13"/>
      <c r="C90" s="8"/>
      <c r="D90" s="8"/>
      <c r="E90" s="16"/>
    </row>
    <row r="91" ht="15.0" customHeight="1">
      <c r="A91" s="12"/>
      <c r="B91" s="13"/>
      <c r="C91" s="8"/>
      <c r="D91" s="8"/>
      <c r="E91" s="16"/>
    </row>
    <row r="92" ht="15.0" customHeight="1">
      <c r="A92" s="12"/>
      <c r="B92" s="13"/>
      <c r="C92" s="8"/>
      <c r="D92" s="8"/>
      <c r="E92" s="16"/>
    </row>
    <row r="93" ht="15.0" customHeight="1">
      <c r="A93" s="12"/>
      <c r="B93" s="13"/>
      <c r="C93" s="8"/>
      <c r="D93" s="8"/>
      <c r="E93" s="16"/>
    </row>
    <row r="94" ht="15.0" customHeight="1">
      <c r="A94" s="12"/>
      <c r="B94" s="13"/>
      <c r="C94" s="8"/>
      <c r="D94" s="8"/>
      <c r="E94" s="16"/>
    </row>
    <row r="95" ht="15.0" customHeight="1">
      <c r="A95" s="12"/>
      <c r="B95" s="13"/>
      <c r="C95" s="8"/>
      <c r="D95" s="8"/>
      <c r="E95" s="16"/>
    </row>
    <row r="96" ht="15.0" customHeight="1">
      <c r="A96" s="12"/>
      <c r="B96" s="13"/>
      <c r="C96" s="8"/>
      <c r="D96" s="8"/>
      <c r="E96" s="16"/>
    </row>
    <row r="97" ht="15.0" customHeight="1">
      <c r="A97" s="12"/>
      <c r="B97" s="13"/>
      <c r="C97" s="8"/>
      <c r="D97" s="8"/>
      <c r="E97" s="16"/>
    </row>
    <row r="98" ht="15.0" customHeight="1">
      <c r="A98" s="12"/>
      <c r="B98" s="13"/>
      <c r="C98" s="8"/>
      <c r="D98" s="8"/>
      <c r="E98" s="16"/>
    </row>
    <row r="99" ht="15.0" customHeight="1">
      <c r="A99" s="12"/>
      <c r="B99" s="13"/>
      <c r="C99" s="8"/>
      <c r="D99" s="8"/>
      <c r="E99" s="16"/>
    </row>
    <row r="100" ht="15.0" customHeight="1">
      <c r="A100" s="12"/>
      <c r="B100" s="13"/>
      <c r="C100" s="8"/>
      <c r="D100" s="8"/>
      <c r="E100" s="16"/>
    </row>
    <row r="101" ht="15.0" customHeight="1">
      <c r="A101" s="12"/>
      <c r="B101" s="13"/>
      <c r="C101" s="8"/>
      <c r="D101" s="8"/>
      <c r="E101" s="16"/>
    </row>
    <row r="102" ht="15.0" customHeight="1">
      <c r="A102" s="12"/>
      <c r="B102" s="13"/>
      <c r="C102" s="8"/>
      <c r="D102" s="8"/>
      <c r="E102" s="16"/>
    </row>
    <row r="103" ht="15.0" customHeight="1">
      <c r="A103" s="12"/>
      <c r="B103" s="13"/>
      <c r="C103" s="8"/>
      <c r="D103" s="8"/>
      <c r="E103" s="16"/>
    </row>
    <row r="104" ht="15.0" customHeight="1">
      <c r="A104" s="12"/>
      <c r="B104" s="13"/>
      <c r="C104" s="8"/>
      <c r="D104" s="8"/>
      <c r="E104" s="16"/>
    </row>
    <row r="105" ht="15.0" customHeight="1">
      <c r="A105" s="12"/>
      <c r="B105" s="13"/>
      <c r="C105" s="8"/>
      <c r="D105" s="8"/>
      <c r="E105" s="16"/>
    </row>
    <row r="106" ht="15.0" customHeight="1">
      <c r="A106" s="12"/>
      <c r="B106" s="13"/>
      <c r="C106" s="8"/>
      <c r="D106" s="8"/>
      <c r="E106" s="16"/>
    </row>
    <row r="107" ht="15.0" customHeight="1">
      <c r="A107" s="12"/>
      <c r="B107" s="13"/>
      <c r="C107" s="8"/>
      <c r="D107" s="8"/>
      <c r="E107" s="16"/>
    </row>
    <row r="108" ht="15.0" customHeight="1">
      <c r="A108" s="12"/>
      <c r="B108" s="13"/>
      <c r="C108" s="8"/>
      <c r="D108" s="8"/>
      <c r="E108" s="16"/>
    </row>
    <row r="109" ht="15.0" customHeight="1">
      <c r="A109" s="12"/>
      <c r="B109" s="13"/>
      <c r="C109" s="8"/>
      <c r="D109" s="8"/>
      <c r="E109" s="16"/>
    </row>
    <row r="110" ht="15.0" customHeight="1">
      <c r="A110" s="12"/>
      <c r="B110" s="13"/>
      <c r="C110" s="8"/>
      <c r="D110" s="8"/>
      <c r="E110" s="16"/>
    </row>
    <row r="111" ht="15.0" customHeight="1">
      <c r="A111" s="12"/>
      <c r="B111" s="13"/>
      <c r="C111" s="8"/>
      <c r="D111" s="8"/>
      <c r="E111" s="16"/>
    </row>
    <row r="112" ht="15.0" customHeight="1">
      <c r="A112" s="12"/>
      <c r="B112" s="13"/>
      <c r="C112" s="8"/>
      <c r="D112" s="8"/>
      <c r="E112" s="16"/>
    </row>
    <row r="113" ht="15.0" customHeight="1">
      <c r="A113" s="12"/>
      <c r="B113" s="13"/>
      <c r="C113" s="8"/>
      <c r="D113" s="8"/>
      <c r="E113" s="16"/>
    </row>
    <row r="114" ht="15.0" customHeight="1">
      <c r="A114" s="12"/>
      <c r="B114" s="13"/>
      <c r="C114" s="8"/>
      <c r="D114" s="8"/>
      <c r="E114" s="16"/>
    </row>
    <row r="115" ht="15.0" customHeight="1">
      <c r="A115" s="12"/>
      <c r="B115" s="13"/>
      <c r="C115" s="8"/>
      <c r="D115" s="8"/>
      <c r="E115" s="16"/>
    </row>
    <row r="116" ht="15.0" customHeight="1">
      <c r="A116" s="12"/>
      <c r="B116" s="13"/>
      <c r="C116" s="8"/>
      <c r="D116" s="8"/>
      <c r="E116" s="16"/>
    </row>
    <row r="117" ht="15.0" customHeight="1">
      <c r="A117" s="12"/>
      <c r="B117" s="13"/>
      <c r="C117" s="8"/>
      <c r="D117" s="8"/>
      <c r="E117" s="16"/>
    </row>
    <row r="118" ht="15.0" customHeight="1">
      <c r="A118" s="12"/>
      <c r="B118" s="13"/>
      <c r="C118" s="8"/>
      <c r="D118" s="8"/>
      <c r="E118" s="16"/>
    </row>
    <row r="119" ht="15.0" customHeight="1">
      <c r="A119" s="12"/>
      <c r="B119" s="13"/>
      <c r="C119" s="8"/>
      <c r="D119" s="8"/>
      <c r="E119" s="16"/>
    </row>
    <row r="120" ht="15.0" customHeight="1">
      <c r="A120" s="12"/>
      <c r="B120" s="13"/>
      <c r="C120" s="8"/>
      <c r="D120" s="8"/>
      <c r="E120" s="16"/>
    </row>
    <row r="121" ht="15.0" customHeight="1">
      <c r="A121" s="12"/>
      <c r="B121" s="13"/>
      <c r="C121" s="8"/>
      <c r="D121" s="8"/>
      <c r="E121" s="16"/>
    </row>
    <row r="122" ht="15.0" customHeight="1">
      <c r="A122" s="12"/>
      <c r="B122" s="13"/>
      <c r="C122" s="8"/>
      <c r="D122" s="8"/>
      <c r="E122" s="16"/>
    </row>
    <row r="123" ht="15.0" customHeight="1">
      <c r="A123" s="12"/>
      <c r="B123" s="13"/>
      <c r="C123" s="8"/>
      <c r="D123" s="8"/>
      <c r="E123" s="16"/>
    </row>
    <row r="124" ht="15.0" customHeight="1">
      <c r="A124" s="12"/>
      <c r="B124" s="13"/>
      <c r="C124" s="8"/>
      <c r="D124" s="8"/>
      <c r="E124" s="16"/>
    </row>
    <row r="125" ht="15.0" customHeight="1">
      <c r="A125" s="12"/>
      <c r="B125" s="13"/>
      <c r="C125" s="8"/>
      <c r="D125" s="8"/>
      <c r="E125" s="16"/>
    </row>
    <row r="126" ht="15.0" customHeight="1">
      <c r="A126" s="12"/>
      <c r="B126" s="13"/>
      <c r="C126" s="8"/>
      <c r="D126" s="8"/>
      <c r="E126" s="16"/>
    </row>
    <row r="127" ht="15.0" customHeight="1">
      <c r="A127" s="12"/>
      <c r="B127" s="13"/>
      <c r="C127" s="8"/>
      <c r="D127" s="8"/>
      <c r="E127" s="16"/>
    </row>
    <row r="128" ht="15.0" customHeight="1">
      <c r="A128" s="12"/>
      <c r="B128" s="13"/>
      <c r="C128" s="8"/>
      <c r="D128" s="8"/>
      <c r="E128" s="16"/>
    </row>
    <row r="129" ht="15.0" customHeight="1">
      <c r="A129" s="12"/>
      <c r="B129" s="13"/>
      <c r="C129" s="8"/>
      <c r="D129" s="8"/>
      <c r="E129" s="16"/>
    </row>
    <row r="130" ht="15.0" customHeight="1">
      <c r="A130" s="12"/>
      <c r="B130" s="13"/>
      <c r="C130" s="8"/>
      <c r="D130" s="8"/>
      <c r="E130" s="16"/>
    </row>
    <row r="131" ht="15.0" customHeight="1">
      <c r="A131" s="12"/>
      <c r="B131" s="13"/>
      <c r="C131" s="8"/>
      <c r="D131" s="8"/>
      <c r="E131" s="16"/>
    </row>
    <row r="132" ht="15.0" customHeight="1">
      <c r="A132" s="12"/>
      <c r="B132" s="13"/>
      <c r="C132" s="8"/>
      <c r="D132" s="8"/>
      <c r="E132" s="16"/>
    </row>
    <row r="133" ht="15.0" customHeight="1">
      <c r="A133" s="12"/>
      <c r="B133" s="13"/>
      <c r="C133" s="8"/>
      <c r="D133" s="8"/>
      <c r="E133" s="16"/>
    </row>
    <row r="134" ht="15.0" customHeight="1">
      <c r="A134" s="12"/>
      <c r="B134" s="13"/>
      <c r="C134" s="8"/>
      <c r="D134" s="8"/>
      <c r="E134" s="16"/>
    </row>
    <row r="135" ht="15.0" customHeight="1">
      <c r="A135" s="12"/>
      <c r="B135" s="13"/>
      <c r="C135" s="8"/>
      <c r="D135" s="8"/>
      <c r="E135" s="16"/>
    </row>
    <row r="136" ht="15.0" customHeight="1">
      <c r="A136" s="12"/>
      <c r="B136" s="13"/>
      <c r="C136" s="8"/>
      <c r="D136" s="8"/>
      <c r="E136" s="16"/>
    </row>
    <row r="137" ht="15.0" customHeight="1">
      <c r="A137" s="12"/>
      <c r="B137" s="13"/>
      <c r="C137" s="8"/>
      <c r="D137" s="8"/>
      <c r="E137" s="16"/>
    </row>
    <row r="138" ht="15.0" customHeight="1">
      <c r="A138" s="12"/>
      <c r="B138" s="13"/>
      <c r="C138" s="8"/>
      <c r="D138" s="8"/>
      <c r="E138" s="16"/>
    </row>
    <row r="139" ht="15.0" customHeight="1">
      <c r="A139" s="12"/>
      <c r="B139" s="13"/>
      <c r="C139" s="8"/>
      <c r="D139" s="8"/>
      <c r="E139" s="16"/>
    </row>
    <row r="140" ht="15.0" customHeight="1">
      <c r="A140" s="12"/>
      <c r="B140" s="13"/>
      <c r="C140" s="8"/>
      <c r="D140" s="8"/>
      <c r="E140" s="16"/>
    </row>
    <row r="141" ht="15.0" customHeight="1">
      <c r="A141" s="12"/>
      <c r="B141" s="13"/>
      <c r="C141" s="8"/>
      <c r="D141" s="8"/>
      <c r="E141" s="16"/>
    </row>
    <row r="142" ht="15.0" customHeight="1">
      <c r="A142" s="12"/>
      <c r="B142" s="13"/>
      <c r="C142" s="8"/>
      <c r="D142" s="8"/>
      <c r="E142" s="16"/>
    </row>
    <row r="143" ht="15.0" customHeight="1">
      <c r="A143" s="12"/>
      <c r="B143" s="13"/>
      <c r="C143" s="8"/>
      <c r="D143" s="8"/>
      <c r="E143" s="16"/>
    </row>
    <row r="144" ht="15.0" customHeight="1">
      <c r="A144" s="12"/>
      <c r="B144" s="13"/>
      <c r="C144" s="8"/>
      <c r="D144" s="8"/>
      <c r="E144" s="16"/>
    </row>
    <row r="145" ht="15.0" customHeight="1">
      <c r="A145" s="12"/>
      <c r="B145" s="13"/>
      <c r="C145" s="8"/>
      <c r="D145" s="8"/>
      <c r="E145" s="16"/>
    </row>
    <row r="146" ht="15.0" customHeight="1">
      <c r="A146" s="12"/>
      <c r="B146" s="13"/>
      <c r="C146" s="8"/>
      <c r="D146" s="8"/>
      <c r="E146" s="16"/>
    </row>
    <row r="147" ht="15.0" customHeight="1">
      <c r="A147" s="12"/>
      <c r="B147" s="13"/>
      <c r="C147" s="8"/>
      <c r="D147" s="8"/>
      <c r="E147" s="16"/>
    </row>
    <row r="148" ht="15.0" customHeight="1">
      <c r="A148" s="12"/>
      <c r="B148" s="13"/>
      <c r="C148" s="8"/>
      <c r="D148" s="8"/>
      <c r="E148" s="16"/>
    </row>
    <row r="149" ht="15.0" customHeight="1">
      <c r="A149" s="12"/>
      <c r="B149" s="13"/>
      <c r="C149" s="8"/>
      <c r="D149" s="8"/>
      <c r="E149" s="16"/>
    </row>
    <row r="150" ht="15.0" customHeight="1">
      <c r="A150" s="12"/>
      <c r="B150" s="13"/>
      <c r="C150" s="8"/>
      <c r="D150" s="8"/>
      <c r="E150" s="16"/>
    </row>
    <row r="151" ht="15.0" customHeight="1">
      <c r="A151" s="12"/>
      <c r="B151" s="13"/>
      <c r="C151" s="8"/>
      <c r="D151" s="8"/>
      <c r="E151" s="16"/>
    </row>
    <row r="152" ht="15.0" customHeight="1">
      <c r="A152" s="12"/>
      <c r="B152" s="13"/>
      <c r="C152" s="8"/>
      <c r="D152" s="8"/>
      <c r="E152" s="16"/>
    </row>
    <row r="153" ht="15.0" customHeight="1">
      <c r="A153" s="12"/>
      <c r="B153" s="13"/>
      <c r="C153" s="8"/>
      <c r="D153" s="8"/>
      <c r="E153" s="16"/>
    </row>
    <row r="154" ht="15.0" customHeight="1">
      <c r="A154" s="12"/>
      <c r="B154" s="13"/>
      <c r="C154" s="8"/>
      <c r="D154" s="8"/>
      <c r="E154" s="16"/>
    </row>
    <row r="155" ht="15.0" customHeight="1">
      <c r="A155" s="12"/>
      <c r="B155" s="13"/>
      <c r="C155" s="8"/>
      <c r="D155" s="8"/>
      <c r="E155" s="16"/>
    </row>
    <row r="156" ht="15.0" customHeight="1">
      <c r="A156" s="12"/>
      <c r="B156" s="13"/>
      <c r="C156" s="8"/>
      <c r="D156" s="8"/>
      <c r="E156" s="16"/>
    </row>
    <row r="157" ht="15.0" customHeight="1">
      <c r="A157" s="12"/>
      <c r="B157" s="13"/>
      <c r="C157" s="8"/>
      <c r="D157" s="8"/>
      <c r="E157" s="16"/>
    </row>
    <row r="158" ht="15.0" customHeight="1">
      <c r="A158" s="12"/>
      <c r="B158" s="13"/>
      <c r="C158" s="8"/>
      <c r="D158" s="8"/>
      <c r="E158" s="16"/>
    </row>
    <row r="159" ht="15.0" customHeight="1">
      <c r="A159" s="12"/>
      <c r="B159" s="13"/>
      <c r="C159" s="8"/>
      <c r="D159" s="8"/>
      <c r="E159" s="16"/>
    </row>
    <row r="160" ht="15.0" customHeight="1">
      <c r="A160" s="12"/>
      <c r="B160" s="13"/>
      <c r="C160" s="8"/>
      <c r="D160" s="8"/>
      <c r="E160" s="16"/>
    </row>
    <row r="161" ht="15.0" customHeight="1">
      <c r="A161" s="12"/>
      <c r="B161" s="13"/>
      <c r="C161" s="8"/>
      <c r="D161" s="8"/>
      <c r="E161" s="16"/>
    </row>
    <row r="162" ht="15.0" customHeight="1">
      <c r="A162" s="12"/>
      <c r="B162" s="13"/>
      <c r="C162" s="8"/>
      <c r="D162" s="8"/>
      <c r="E162" s="16"/>
    </row>
    <row r="163" ht="15.0" customHeight="1">
      <c r="A163" s="12"/>
      <c r="B163" s="13"/>
      <c r="C163" s="8"/>
      <c r="D163" s="8"/>
      <c r="E163" s="16"/>
    </row>
    <row r="164" ht="15.0" customHeight="1">
      <c r="A164" s="12"/>
      <c r="B164" s="13"/>
      <c r="C164" s="8"/>
      <c r="D164" s="8"/>
      <c r="E164" s="16"/>
    </row>
    <row r="165" ht="15.0" customHeight="1">
      <c r="A165" s="12"/>
      <c r="B165" s="13"/>
      <c r="C165" s="8"/>
      <c r="D165" s="8"/>
      <c r="E165" s="16"/>
    </row>
    <row r="166" ht="15.0" customHeight="1">
      <c r="A166" s="12"/>
      <c r="B166" s="13"/>
      <c r="C166" s="8"/>
      <c r="D166" s="8"/>
      <c r="E166" s="16"/>
    </row>
    <row r="167" ht="15.0" customHeight="1">
      <c r="A167" s="12"/>
      <c r="B167" s="13"/>
      <c r="C167" s="8"/>
      <c r="D167" s="8"/>
      <c r="E167" s="16"/>
    </row>
    <row r="168" ht="15.0" customHeight="1">
      <c r="A168" s="12"/>
      <c r="B168" s="13"/>
      <c r="C168" s="8"/>
      <c r="D168" s="8"/>
      <c r="E168" s="16"/>
    </row>
    <row r="169" ht="15.0" customHeight="1">
      <c r="A169" s="12"/>
      <c r="B169" s="13"/>
      <c r="C169" s="8"/>
      <c r="D169" s="8"/>
      <c r="E169" s="16"/>
    </row>
    <row r="170" ht="15.0" customHeight="1">
      <c r="A170" s="12"/>
      <c r="B170" s="13"/>
      <c r="C170" s="8"/>
      <c r="D170" s="8"/>
      <c r="E170" s="16"/>
    </row>
    <row r="171" ht="15.0" customHeight="1">
      <c r="A171" s="12"/>
      <c r="B171" s="13"/>
      <c r="C171" s="8"/>
      <c r="D171" s="8"/>
      <c r="E171" s="16"/>
    </row>
    <row r="172" ht="15.0" customHeight="1">
      <c r="A172" s="12"/>
      <c r="B172" s="13"/>
      <c r="C172" s="8"/>
      <c r="D172" s="8"/>
      <c r="E172" s="16"/>
    </row>
    <row r="173" ht="15.0" customHeight="1">
      <c r="A173" s="12"/>
      <c r="B173" s="13"/>
      <c r="C173" s="8"/>
      <c r="D173" s="8"/>
      <c r="E173" s="16"/>
    </row>
    <row r="174" ht="15.0" customHeight="1">
      <c r="A174" s="12"/>
      <c r="B174" s="13"/>
      <c r="C174" s="8"/>
      <c r="D174" s="8"/>
      <c r="E174" s="16"/>
    </row>
    <row r="175" ht="15.0" customHeight="1">
      <c r="A175" s="12"/>
      <c r="B175" s="13"/>
      <c r="C175" s="8"/>
      <c r="D175" s="8"/>
      <c r="E175" s="16"/>
    </row>
    <row r="176" ht="15.0" customHeight="1">
      <c r="A176" s="12"/>
      <c r="B176" s="13"/>
      <c r="C176" s="8"/>
      <c r="D176" s="8"/>
      <c r="E176" s="16"/>
    </row>
    <row r="177" ht="15.0" customHeight="1">
      <c r="A177" s="12"/>
      <c r="B177" s="13"/>
      <c r="C177" s="8"/>
      <c r="D177" s="8"/>
      <c r="E177" s="16"/>
    </row>
    <row r="178" ht="15.0" customHeight="1">
      <c r="A178" s="12"/>
      <c r="B178" s="13"/>
      <c r="C178" s="8"/>
      <c r="D178" s="8"/>
      <c r="E178" s="16"/>
    </row>
    <row r="179" ht="15.0" customHeight="1">
      <c r="A179" s="12"/>
      <c r="B179" s="13"/>
      <c r="C179" s="8"/>
      <c r="D179" s="8"/>
      <c r="E179" s="16"/>
    </row>
    <row r="180" ht="15.0" customHeight="1">
      <c r="A180" s="12"/>
      <c r="B180" s="13"/>
      <c r="C180" s="8"/>
      <c r="D180" s="8"/>
      <c r="E180" s="16"/>
    </row>
    <row r="181" ht="15.0" customHeight="1">
      <c r="A181" s="12"/>
      <c r="B181" s="13"/>
      <c r="C181" s="8"/>
      <c r="D181" s="8"/>
      <c r="E181" s="16"/>
    </row>
    <row r="182" ht="15.0" customHeight="1">
      <c r="A182" s="12"/>
      <c r="B182" s="13"/>
      <c r="C182" s="8"/>
      <c r="D182" s="8"/>
      <c r="E182" s="16"/>
    </row>
    <row r="183" ht="15.0" customHeight="1">
      <c r="A183" s="12"/>
      <c r="B183" s="13"/>
      <c r="C183" s="8"/>
      <c r="D183" s="8"/>
      <c r="E183" s="16"/>
    </row>
    <row r="184" ht="15.0" customHeight="1">
      <c r="A184" s="12"/>
      <c r="B184" s="13"/>
      <c r="C184" s="8"/>
      <c r="D184" s="8"/>
      <c r="E184" s="16"/>
    </row>
    <row r="185" ht="15.0" customHeight="1">
      <c r="A185" s="12"/>
      <c r="B185" s="13"/>
      <c r="C185" s="8"/>
      <c r="D185" s="8"/>
      <c r="E185" s="16"/>
    </row>
    <row r="186" ht="15.0" customHeight="1">
      <c r="A186" s="12"/>
      <c r="B186" s="13"/>
      <c r="C186" s="8"/>
      <c r="D186" s="8"/>
      <c r="E186" s="16"/>
    </row>
    <row r="187" ht="15.0" customHeight="1">
      <c r="A187" s="12"/>
      <c r="B187" s="13"/>
      <c r="C187" s="8"/>
      <c r="D187" s="8"/>
      <c r="E187" s="16"/>
    </row>
    <row r="188" ht="15.0" customHeight="1">
      <c r="A188" s="12"/>
      <c r="B188" s="13"/>
      <c r="C188" s="8"/>
      <c r="D188" s="8"/>
      <c r="E188" s="16"/>
    </row>
    <row r="189" ht="15.0" customHeight="1">
      <c r="A189" s="12"/>
      <c r="B189" s="13"/>
      <c r="C189" s="8"/>
      <c r="D189" s="8"/>
      <c r="E189" s="16"/>
    </row>
    <row r="190" ht="15.0" customHeight="1">
      <c r="A190" s="12"/>
      <c r="B190" s="13"/>
      <c r="C190" s="8"/>
      <c r="D190" s="8"/>
      <c r="E190" s="16"/>
    </row>
    <row r="191" ht="15.0" customHeight="1">
      <c r="A191" s="12"/>
      <c r="B191" s="13"/>
      <c r="C191" s="8"/>
      <c r="D191" s="8"/>
      <c r="E191" s="16"/>
    </row>
    <row r="192" ht="15.0" customHeight="1">
      <c r="A192" s="12"/>
      <c r="B192" s="13"/>
      <c r="C192" s="8"/>
      <c r="D192" s="8"/>
      <c r="E192" s="16"/>
    </row>
    <row r="193" ht="15.0" customHeight="1">
      <c r="A193" s="12"/>
      <c r="B193" s="13"/>
      <c r="C193" s="8"/>
      <c r="D193" s="8"/>
      <c r="E193" s="16"/>
    </row>
    <row r="194" ht="15.0" customHeight="1">
      <c r="A194" s="12"/>
      <c r="B194" s="13"/>
      <c r="C194" s="8"/>
      <c r="D194" s="8"/>
      <c r="E194" s="16"/>
    </row>
    <row r="195" ht="15.0" customHeight="1">
      <c r="A195" s="12"/>
      <c r="B195" s="13"/>
      <c r="C195" s="8"/>
      <c r="D195" s="8"/>
      <c r="E195" s="16"/>
    </row>
    <row r="196" ht="15.0" customHeight="1">
      <c r="A196" s="12"/>
      <c r="B196" s="13"/>
      <c r="C196" s="8"/>
      <c r="D196" s="8"/>
      <c r="E196" s="16"/>
    </row>
    <row r="197" ht="15.0" customHeight="1">
      <c r="A197" s="12"/>
      <c r="B197" s="13"/>
      <c r="C197" s="8"/>
      <c r="D197" s="8"/>
      <c r="E197" s="16"/>
    </row>
    <row r="198" ht="15.0" customHeight="1">
      <c r="A198" s="12"/>
      <c r="B198" s="13"/>
      <c r="C198" s="8"/>
      <c r="D198" s="8"/>
      <c r="E198" s="16"/>
    </row>
    <row r="199" ht="15.0" customHeight="1">
      <c r="A199" s="12"/>
      <c r="B199" s="13"/>
      <c r="C199" s="8"/>
      <c r="D199" s="8"/>
      <c r="E199" s="16"/>
    </row>
    <row r="200" ht="15.0" customHeight="1">
      <c r="A200" s="12"/>
      <c r="B200" s="13"/>
      <c r="C200" s="8"/>
      <c r="D200" s="8"/>
      <c r="E200" s="16"/>
    </row>
    <row r="201" ht="15.0" customHeight="1">
      <c r="A201" s="12"/>
      <c r="B201" s="13"/>
      <c r="C201" s="8"/>
      <c r="D201" s="8"/>
      <c r="E201" s="16"/>
    </row>
    <row r="202" ht="15.0" customHeight="1">
      <c r="A202" s="12"/>
      <c r="B202" s="13"/>
      <c r="C202" s="8"/>
      <c r="D202" s="8"/>
      <c r="E202" s="16"/>
    </row>
    <row r="203" ht="15.0" customHeight="1">
      <c r="A203" s="12"/>
      <c r="B203" s="13"/>
      <c r="C203" s="8"/>
      <c r="D203" s="8"/>
      <c r="E203" s="16"/>
    </row>
    <row r="204" ht="15.0" customHeight="1">
      <c r="A204" s="12"/>
      <c r="B204" s="13"/>
      <c r="C204" s="8"/>
      <c r="D204" s="8"/>
      <c r="E204" s="16"/>
    </row>
    <row r="205" ht="15.0" customHeight="1">
      <c r="A205" s="12"/>
      <c r="B205" s="13"/>
      <c r="C205" s="8"/>
      <c r="D205" s="8"/>
      <c r="E205" s="16"/>
    </row>
    <row r="206" ht="15.0" customHeight="1">
      <c r="A206" s="12"/>
      <c r="B206" s="13"/>
      <c r="C206" s="8"/>
      <c r="D206" s="8"/>
      <c r="E206" s="16"/>
    </row>
    <row r="207" ht="15.0" customHeight="1">
      <c r="A207" s="12"/>
      <c r="B207" s="13"/>
      <c r="C207" s="8"/>
      <c r="D207" s="8"/>
      <c r="E207" s="16"/>
    </row>
    <row r="208" ht="15.0" customHeight="1">
      <c r="A208" s="12"/>
      <c r="B208" s="13"/>
      <c r="C208" s="8"/>
      <c r="D208" s="8"/>
      <c r="E208" s="16"/>
    </row>
    <row r="209" ht="15.0" customHeight="1">
      <c r="A209" s="12"/>
      <c r="B209" s="13"/>
      <c r="C209" s="8"/>
      <c r="D209" s="8"/>
      <c r="E209" s="16"/>
    </row>
    <row r="210" ht="15.0" customHeight="1">
      <c r="A210" s="12"/>
      <c r="B210" s="13"/>
      <c r="C210" s="8"/>
      <c r="D210" s="8"/>
      <c r="E210" s="16"/>
    </row>
    <row r="211" ht="15.0" customHeight="1">
      <c r="A211" s="12"/>
      <c r="B211" s="13"/>
      <c r="C211" s="8"/>
      <c r="D211" s="8"/>
      <c r="E211" s="16"/>
    </row>
    <row r="212" ht="15.0" customHeight="1">
      <c r="A212" s="12"/>
      <c r="B212" s="13"/>
      <c r="C212" s="8"/>
      <c r="D212" s="8"/>
      <c r="E212" s="16"/>
    </row>
    <row r="213" ht="15.0" customHeight="1">
      <c r="A213" s="12"/>
      <c r="B213" s="13"/>
      <c r="C213" s="8"/>
      <c r="D213" s="8"/>
      <c r="E213" s="16"/>
    </row>
    <row r="214" ht="15.0" customHeight="1">
      <c r="A214" s="12"/>
      <c r="B214" s="13"/>
      <c r="C214" s="8"/>
      <c r="D214" s="8"/>
      <c r="E214" s="16"/>
    </row>
    <row r="215" ht="15.0" customHeight="1">
      <c r="A215" s="12"/>
      <c r="B215" s="13"/>
      <c r="C215" s="8"/>
      <c r="D215" s="8"/>
      <c r="E215" s="16"/>
    </row>
    <row r="216" ht="15.0" customHeight="1">
      <c r="A216" s="12"/>
      <c r="B216" s="13"/>
      <c r="C216" s="8"/>
      <c r="D216" s="8"/>
      <c r="E216" s="16"/>
    </row>
    <row r="217" ht="15.0" customHeight="1">
      <c r="A217" s="12"/>
      <c r="B217" s="13"/>
      <c r="C217" s="8"/>
      <c r="D217" s="8"/>
      <c r="E217" s="16"/>
    </row>
    <row r="218" ht="15.0" customHeight="1">
      <c r="A218" s="12"/>
      <c r="B218" s="13"/>
      <c r="C218" s="8"/>
      <c r="D218" s="8"/>
      <c r="E218" s="16"/>
    </row>
    <row r="219" ht="15.0" customHeight="1">
      <c r="A219" s="12"/>
      <c r="B219" s="13"/>
      <c r="C219" s="8"/>
      <c r="D219" s="8"/>
      <c r="E219" s="16"/>
    </row>
    <row r="220" ht="15.0" customHeight="1">
      <c r="A220" s="12"/>
      <c r="B220" s="13"/>
      <c r="C220" s="8"/>
      <c r="D220" s="8"/>
      <c r="E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600"/>
  <conditionalFormatting sqref="A5:E600">
    <cfRule type="expression" dxfId="5" priority="1">
      <formula>$B5="Enero"</formula>
    </cfRule>
  </conditionalFormatting>
  <conditionalFormatting sqref="A5:E600">
    <cfRule type="expression" dxfId="6" priority="2">
      <formula>$B5="Febrero"</formula>
    </cfRule>
  </conditionalFormatting>
  <conditionalFormatting sqref="A5:E600">
    <cfRule type="expression" dxfId="7" priority="3">
      <formula>$B5="Marzo"</formula>
    </cfRule>
  </conditionalFormatting>
  <conditionalFormatting sqref="A5:E600">
    <cfRule type="expression" dxfId="8" priority="4">
      <formula>$B5="Abril"</formula>
    </cfRule>
  </conditionalFormatting>
  <conditionalFormatting sqref="A5:E600">
    <cfRule type="expression" dxfId="9" priority="5">
      <formula>$B5="Mayo"</formula>
    </cfRule>
  </conditionalFormatting>
  <conditionalFormatting sqref="A5:E600">
    <cfRule type="expression" dxfId="10" priority="6">
      <formula>$B5="Junio"</formula>
    </cfRule>
  </conditionalFormatting>
  <conditionalFormatting sqref="A5:E600">
    <cfRule type="expression" dxfId="11" priority="7">
      <formula>$B5="Julio"</formula>
    </cfRule>
  </conditionalFormatting>
  <conditionalFormatting sqref="A5:E600">
    <cfRule type="expression" dxfId="12" priority="8">
      <formula>$B5="Agosto"</formula>
    </cfRule>
  </conditionalFormatting>
  <conditionalFormatting sqref="A5:E600">
    <cfRule type="expression" dxfId="13" priority="9">
      <formula>$B5="Septiembre"</formula>
    </cfRule>
  </conditionalFormatting>
  <conditionalFormatting sqref="A5:E600">
    <cfRule type="expression" dxfId="14" priority="10">
      <formula>$B5="Octubre"</formula>
    </cfRule>
  </conditionalFormatting>
  <conditionalFormatting sqref="A5:E600">
    <cfRule type="expression" dxfId="15" priority="11">
      <formula>$B5="Noviembre"</formula>
    </cfRule>
  </conditionalFormatting>
  <conditionalFormatting sqref="A5:E600">
    <cfRule type="expression" dxfId="16" priority="12">
      <formula>$B5="Diciembre"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7" width="8.71"/>
  </cols>
  <sheetData>
    <row r="1" ht="23.25" customHeight="1">
      <c r="A1" s="32">
        <v>5.0</v>
      </c>
    </row>
    <row r="2" ht="16.5" customHeight="1">
      <c r="A2" s="3" t="s">
        <v>112</v>
      </c>
    </row>
    <row r="4" ht="16.5" customHeight="1">
      <c r="A4" s="7" t="s">
        <v>14</v>
      </c>
      <c r="B4" s="7" t="s">
        <v>21</v>
      </c>
      <c r="C4" s="9" t="s">
        <v>113</v>
      </c>
      <c r="D4" s="7" t="s">
        <v>17</v>
      </c>
      <c r="E4" s="7" t="s">
        <v>19</v>
      </c>
      <c r="F4" s="9" t="s">
        <v>28</v>
      </c>
      <c r="G4" s="6" t="s">
        <v>115</v>
      </c>
    </row>
    <row r="5" ht="15.0" customHeight="1">
      <c r="A5" s="12">
        <v>46008.0</v>
      </c>
      <c r="B5" s="13" t="s">
        <v>36</v>
      </c>
      <c r="C5" s="8" t="s">
        <v>116</v>
      </c>
      <c r="D5" s="8" t="s">
        <v>105</v>
      </c>
      <c r="E5" s="13" t="str">
        <f>IF(ISBLANK(D5), "", VLOOKUP(D5, Config!$F$6:$G$29, 2, FALSE()))</f>
        <v>Variable</v>
      </c>
      <c r="F5" s="16">
        <v>11915.66</v>
      </c>
      <c r="G5" s="24" t="s">
        <v>118</v>
      </c>
    </row>
    <row r="6" ht="15.0" customHeight="1">
      <c r="A6" s="12">
        <v>46048.0</v>
      </c>
      <c r="B6" s="13" t="s">
        <v>36</v>
      </c>
      <c r="C6" s="8" t="s">
        <v>119</v>
      </c>
      <c r="D6" s="8" t="s">
        <v>101</v>
      </c>
      <c r="E6" s="13" t="str">
        <f>IF(ISBLANK(D6), "", VLOOKUP(D6, Config!$F$6:$G$29, 2, FALSE()))</f>
        <v>Fijo</v>
      </c>
      <c r="F6" s="16">
        <v>27005.25</v>
      </c>
      <c r="G6" s="24" t="s">
        <v>118</v>
      </c>
    </row>
    <row r="7" ht="15.0" customHeight="1">
      <c r="A7" s="12">
        <v>46049.0</v>
      </c>
      <c r="B7" s="13" t="s">
        <v>36</v>
      </c>
      <c r="C7" s="8" t="s">
        <v>119</v>
      </c>
      <c r="D7" s="8" t="s">
        <v>101</v>
      </c>
      <c r="E7" s="13" t="str">
        <f>IF(ISBLANK(D7), "", VLOOKUP(D7, Config!$F$6:$G$29, 2, FALSE()))</f>
        <v>Fijo</v>
      </c>
      <c r="F7" s="16">
        <v>97290.0</v>
      </c>
      <c r="G7" s="24" t="s">
        <v>118</v>
      </c>
    </row>
    <row r="8" ht="15.0" customHeight="1">
      <c r="A8" s="12">
        <v>46062.0</v>
      </c>
      <c r="B8" s="13" t="s">
        <v>36</v>
      </c>
      <c r="C8" s="8" t="s">
        <v>121</v>
      </c>
      <c r="D8" s="8" t="s">
        <v>105</v>
      </c>
      <c r="E8" s="13" t="str">
        <f>IF(ISBLANK(D8), "", VLOOKUP(D8, Config!$F$6:$G$29, 2, FALSE()))</f>
        <v>Variable</v>
      </c>
      <c r="F8" s="16">
        <v>199999.66</v>
      </c>
      <c r="G8" s="24" t="s">
        <v>118</v>
      </c>
    </row>
    <row r="9" ht="15.0" customHeight="1">
      <c r="A9" s="12">
        <v>46092.0</v>
      </c>
      <c r="B9" s="13" t="s">
        <v>36</v>
      </c>
      <c r="C9" s="8" t="s">
        <v>124</v>
      </c>
      <c r="D9" s="8" t="s">
        <v>105</v>
      </c>
      <c r="E9" s="13" t="str">
        <f>IF(ISBLANK(D9), "", VLOOKUP(D9, Config!$F$6:$G$29, 2, FALSE()))</f>
        <v>Variable</v>
      </c>
      <c r="F9" s="16">
        <v>39999.88</v>
      </c>
      <c r="G9" s="24" t="s">
        <v>118</v>
      </c>
    </row>
    <row r="10" ht="15.0" customHeight="1">
      <c r="A10" s="12">
        <v>46092.0</v>
      </c>
      <c r="B10" s="13" t="s">
        <v>36</v>
      </c>
      <c r="C10" s="8" t="s">
        <v>126</v>
      </c>
      <c r="D10" s="8" t="s">
        <v>105</v>
      </c>
      <c r="E10" s="13" t="str">
        <f>IF(ISBLANK(D10), "", VLOOKUP(D10, Config!$F$6:$G$29, 2, FALSE()))</f>
        <v>Variable</v>
      </c>
      <c r="F10" s="16">
        <v>39999.88</v>
      </c>
      <c r="G10" s="24" t="s">
        <v>118</v>
      </c>
    </row>
    <row r="11" ht="15.0" customHeight="1">
      <c r="A11" s="12">
        <v>46092.0</v>
      </c>
      <c r="B11" s="13" t="s">
        <v>36</v>
      </c>
      <c r="C11" s="8" t="s">
        <v>129</v>
      </c>
      <c r="D11" s="8" t="s">
        <v>105</v>
      </c>
      <c r="E11" s="13" t="str">
        <f>IF(ISBLANK(D11), "", VLOOKUP(D11, Config!$F$6:$G$29, 2, FALSE()))</f>
        <v>Variable</v>
      </c>
      <c r="F11" s="16">
        <v>39999.88</v>
      </c>
      <c r="G11" s="24" t="s">
        <v>118</v>
      </c>
    </row>
    <row r="12" ht="15.0" customHeight="1">
      <c r="A12" s="12">
        <v>46092.0</v>
      </c>
      <c r="B12" s="13" t="s">
        <v>36</v>
      </c>
      <c r="C12" s="8" t="s">
        <v>131</v>
      </c>
      <c r="D12" s="8" t="s">
        <v>105</v>
      </c>
      <c r="E12" s="13" t="str">
        <f>IF(ISBLANK(D12), "", VLOOKUP(D12, Config!$F$6:$G$29, 2, FALSE()))</f>
        <v>Variable</v>
      </c>
      <c r="F12" s="16">
        <v>39999.88</v>
      </c>
      <c r="G12" s="24" t="s">
        <v>118</v>
      </c>
    </row>
    <row r="13" ht="15.0" customHeight="1">
      <c r="A13" s="12">
        <v>46092.0</v>
      </c>
      <c r="B13" s="13" t="s">
        <v>36</v>
      </c>
      <c r="C13" s="8" t="s">
        <v>133</v>
      </c>
      <c r="D13" s="8" t="s">
        <v>105</v>
      </c>
      <c r="E13" s="13" t="str">
        <f>IF(ISBLANK(D13), "", VLOOKUP(D13, Config!$F$6:$G$29, 2, FALSE()))</f>
        <v>Variable</v>
      </c>
      <c r="F13" s="16">
        <v>39999.88</v>
      </c>
      <c r="G13" s="24" t="s">
        <v>118</v>
      </c>
    </row>
    <row r="14" ht="15.0" customHeight="1">
      <c r="A14" s="12">
        <v>46092.0</v>
      </c>
      <c r="B14" s="13" t="s">
        <v>36</v>
      </c>
      <c r="C14" s="8" t="s">
        <v>134</v>
      </c>
      <c r="D14" s="8" t="s">
        <v>105</v>
      </c>
      <c r="E14" s="13" t="str">
        <f>IF(ISBLANK(D14), "", VLOOKUP(D14, Config!$F$6:$G$29, 2, FALSE()))</f>
        <v>Variable</v>
      </c>
      <c r="F14" s="16">
        <v>39999.88</v>
      </c>
      <c r="G14" s="24" t="s">
        <v>118</v>
      </c>
    </row>
    <row r="15" ht="15.0" customHeight="1">
      <c r="A15" s="12">
        <v>46092.0</v>
      </c>
      <c r="B15" s="13" t="s">
        <v>36</v>
      </c>
      <c r="C15" s="8" t="s">
        <v>136</v>
      </c>
      <c r="D15" s="8" t="s">
        <v>105</v>
      </c>
      <c r="E15" s="13" t="str">
        <f>IF(ISBLANK(D15), "", VLOOKUP(D15, Config!$F$6:$G$29, 2, FALSE()))</f>
        <v>Variable</v>
      </c>
      <c r="F15" s="16">
        <v>39999.88</v>
      </c>
      <c r="G15" s="24" t="s">
        <v>118</v>
      </c>
    </row>
    <row r="16" ht="15.0" customHeight="1">
      <c r="A16" s="12">
        <v>46092.0</v>
      </c>
      <c r="B16" s="13" t="s">
        <v>36</v>
      </c>
      <c r="C16" s="8" t="s">
        <v>138</v>
      </c>
      <c r="D16" s="8" t="s">
        <v>105</v>
      </c>
      <c r="E16" s="13" t="str">
        <f>IF(ISBLANK(D16), "", VLOOKUP(D16, Config!$F$6:$G$29, 2, FALSE()))</f>
        <v>Variable</v>
      </c>
      <c r="F16" s="16">
        <v>39999.88</v>
      </c>
      <c r="G16" s="24" t="s">
        <v>118</v>
      </c>
    </row>
    <row r="17" ht="15.0" customHeight="1">
      <c r="A17" s="12">
        <v>46098.0</v>
      </c>
      <c r="B17" s="13" t="s">
        <v>36</v>
      </c>
      <c r="C17" s="8" t="s">
        <v>140</v>
      </c>
      <c r="D17" s="8" t="s">
        <v>108</v>
      </c>
      <c r="E17" s="13" t="str">
        <f>IF(ISBLANK(D17), "", VLOOKUP(D17, Config!$F$6:$G$29, 2, FALSE()))</f>
        <v>Variable</v>
      </c>
      <c r="F17" s="16">
        <v>5398.77</v>
      </c>
      <c r="G17" s="24" t="s">
        <v>118</v>
      </c>
    </row>
    <row r="18" ht="15.0" customHeight="1">
      <c r="A18" s="12">
        <v>46101.0</v>
      </c>
      <c r="B18" s="13" t="s">
        <v>36</v>
      </c>
      <c r="C18" s="8" t="s">
        <v>142</v>
      </c>
      <c r="D18" s="8" t="s">
        <v>101</v>
      </c>
      <c r="E18" s="13" t="str">
        <f>IF(ISBLANK(D18), "", VLOOKUP(D18, Config!$F$6:$G$29, 2, FALSE()))</f>
        <v>Fijo</v>
      </c>
      <c r="F18" s="16">
        <v>15616.17</v>
      </c>
      <c r="G18" s="24" t="s">
        <v>118</v>
      </c>
    </row>
    <row r="19" ht="15.0" customHeight="1">
      <c r="A19" s="12">
        <v>46101.0</v>
      </c>
      <c r="B19" s="13" t="s">
        <v>36</v>
      </c>
      <c r="C19" s="8" t="s">
        <v>144</v>
      </c>
      <c r="D19" s="8" t="s">
        <v>102</v>
      </c>
      <c r="E19" s="13" t="str">
        <f>IF(ISBLANK(D19), "", VLOOKUP(D19, Config!$F$6:$G$29, 2, FALSE()))</f>
        <v>Variable</v>
      </c>
      <c r="F19" s="16">
        <v>48670.0</v>
      </c>
      <c r="G19" s="24" t="s">
        <v>118</v>
      </c>
    </row>
    <row r="20" ht="15.0" customHeight="1">
      <c r="A20" s="12">
        <v>46101.0</v>
      </c>
      <c r="B20" s="13" t="s">
        <v>36</v>
      </c>
      <c r="C20" s="8" t="s">
        <v>145</v>
      </c>
      <c r="D20" s="8" t="s">
        <v>47</v>
      </c>
      <c r="E20" s="13" t="str">
        <f>IF(ISBLANK(D20), "", VLOOKUP(D20, Config!$F$6:$G$29, 2, FALSE()))</f>
        <v>Fijo</v>
      </c>
      <c r="F20" s="16">
        <v>163111.3</v>
      </c>
      <c r="G20" s="24" t="s">
        <v>118</v>
      </c>
    </row>
    <row r="21" ht="15.0" customHeight="1">
      <c r="A21" s="12">
        <v>46103.0</v>
      </c>
      <c r="B21" s="13" t="s">
        <v>36</v>
      </c>
      <c r="C21" s="8" t="s">
        <v>147</v>
      </c>
      <c r="D21" s="8" t="s">
        <v>102</v>
      </c>
      <c r="E21" s="13" t="str">
        <f>IF(ISBLANK(D21), "", VLOOKUP(D21, Config!$F$6:$G$29, 2, FALSE()))</f>
        <v>Variable</v>
      </c>
      <c r="F21" s="16">
        <v>9680.0</v>
      </c>
      <c r="G21" s="24" t="s">
        <v>118</v>
      </c>
    </row>
    <row r="22" ht="15.0" customHeight="1">
      <c r="A22" s="12">
        <v>46104.0</v>
      </c>
      <c r="B22" s="13" t="s">
        <v>36</v>
      </c>
      <c r="C22" s="8" t="s">
        <v>149</v>
      </c>
      <c r="D22" s="8" t="s">
        <v>88</v>
      </c>
      <c r="E22" s="13" t="str">
        <f>IF(ISBLANK(D22), "", VLOOKUP(D22, Config!$F$6:$G$29, 2, FALSE()))</f>
        <v>Fijo</v>
      </c>
      <c r="F22" s="16">
        <v>4449.0</v>
      </c>
      <c r="G22" s="24" t="s">
        <v>118</v>
      </c>
    </row>
    <row r="23" ht="15.0" customHeight="1">
      <c r="A23" s="12">
        <v>46104.0</v>
      </c>
      <c r="B23" s="13" t="s">
        <v>36</v>
      </c>
      <c r="C23" s="8" t="s">
        <v>150</v>
      </c>
      <c r="D23" s="8" t="s">
        <v>104</v>
      </c>
      <c r="E23" s="13" t="str">
        <f>IF(ISBLANK(D23), "", VLOOKUP(D23, Config!$F$6:$G$29, 2, FALSE()))</f>
        <v>Variable</v>
      </c>
      <c r="F23" s="16">
        <v>4500.0</v>
      </c>
      <c r="G23" s="24" t="s">
        <v>118</v>
      </c>
    </row>
    <row r="24" ht="15.0" customHeight="1">
      <c r="A24" s="12">
        <v>46107.0</v>
      </c>
      <c r="B24" s="13" t="s">
        <v>36</v>
      </c>
      <c r="C24" s="8" t="s">
        <v>152</v>
      </c>
      <c r="D24" s="8" t="s">
        <v>93</v>
      </c>
      <c r="E24" s="13" t="str">
        <f>IF(ISBLANK(D24), "", VLOOKUP(D24, Config!$F$6:$G$29, 2, FALSE()))</f>
        <v>Variable</v>
      </c>
      <c r="F24" s="16">
        <v>20000.0</v>
      </c>
      <c r="G24" s="24" t="s">
        <v>118</v>
      </c>
    </row>
    <row r="25" ht="15.0" customHeight="1">
      <c r="A25" s="12">
        <v>46108.0</v>
      </c>
      <c r="B25" s="13" t="s">
        <v>36</v>
      </c>
      <c r="C25" s="8" t="s">
        <v>153</v>
      </c>
      <c r="D25" s="8" t="s">
        <v>102</v>
      </c>
      <c r="E25" s="13" t="str">
        <f>IF(ISBLANK(D25), "", VLOOKUP(D25, Config!$F$6:$G$29, 2, FALSE()))</f>
        <v>Variable</v>
      </c>
      <c r="F25" s="16">
        <v>11230.0</v>
      </c>
      <c r="G25" s="24" t="s">
        <v>118</v>
      </c>
    </row>
    <row r="26" ht="15.0" customHeight="1">
      <c r="A26" s="12">
        <v>46111.0</v>
      </c>
      <c r="B26" s="13" t="s">
        <v>36</v>
      </c>
      <c r="C26" s="8" t="s">
        <v>155</v>
      </c>
      <c r="D26" s="8" t="s">
        <v>105</v>
      </c>
      <c r="E26" s="13" t="str">
        <f>IF(ISBLANK(D26), "", VLOOKUP(D26, Config!$F$6:$G$29, 2, FALSE()))</f>
        <v>Variable</v>
      </c>
      <c r="F26" s="16">
        <v>-359999.0</v>
      </c>
      <c r="G26" s="24" t="s">
        <v>118</v>
      </c>
    </row>
    <row r="27" ht="15.0" customHeight="1">
      <c r="A27" s="12">
        <v>46112.0</v>
      </c>
      <c r="B27" s="13" t="s">
        <v>36</v>
      </c>
      <c r="C27" s="8" t="s">
        <v>157</v>
      </c>
      <c r="D27" s="8" t="s">
        <v>78</v>
      </c>
      <c r="E27" s="13" t="str">
        <f>IF(ISBLANK(D27), "", VLOOKUP(D27, Config!$F$6:$G$29, 2, FALSE()))</f>
        <v>Fijo</v>
      </c>
      <c r="F27" s="16">
        <v>44177.2</v>
      </c>
      <c r="G27" s="24" t="s">
        <v>118</v>
      </c>
    </row>
    <row r="28" ht="15.0" customHeight="1">
      <c r="A28" s="12">
        <v>46113.0</v>
      </c>
      <c r="B28" s="13" t="s">
        <v>36</v>
      </c>
      <c r="C28" s="8" t="s">
        <v>159</v>
      </c>
      <c r="D28" s="8" t="s">
        <v>105</v>
      </c>
      <c r="E28" s="13" t="str">
        <f>IF(ISBLANK(D28), "", VLOOKUP(D28, Config!$F$6:$G$29, 2, FALSE()))</f>
        <v>Variable</v>
      </c>
      <c r="F28" s="16">
        <v>13902.8</v>
      </c>
      <c r="G28" s="24" t="s">
        <v>118</v>
      </c>
    </row>
    <row r="29" ht="15.0" customHeight="1">
      <c r="A29" s="12">
        <v>46114.0</v>
      </c>
      <c r="B29" s="13" t="s">
        <v>36</v>
      </c>
      <c r="C29" s="8" t="s">
        <v>159</v>
      </c>
      <c r="D29" s="8" t="s">
        <v>105</v>
      </c>
      <c r="E29" s="13" t="str">
        <f>IF(ISBLANK(D29), "", VLOOKUP(D29, Config!$F$6:$G$29, 2, FALSE()))</f>
        <v>Variable</v>
      </c>
      <c r="F29" s="16">
        <v>199.75</v>
      </c>
      <c r="G29" s="24" t="s">
        <v>118</v>
      </c>
    </row>
    <row r="30" ht="15.0" customHeight="1">
      <c r="A30" s="12">
        <v>46114.0</v>
      </c>
      <c r="B30" s="13" t="s">
        <v>36</v>
      </c>
      <c r="C30" s="8" t="s">
        <v>159</v>
      </c>
      <c r="D30" s="8" t="s">
        <v>105</v>
      </c>
      <c r="E30" s="13" t="str">
        <f>IF(ISBLANK(D30), "", VLOOKUP(D30, Config!$F$6:$G$29, 2, FALSE()))</f>
        <v>Variable</v>
      </c>
      <c r="F30" s="16">
        <v>179.85</v>
      </c>
      <c r="G30" s="24" t="s">
        <v>118</v>
      </c>
    </row>
    <row r="31" ht="15.0" customHeight="1">
      <c r="A31" s="12">
        <v>46114.0</v>
      </c>
      <c r="B31" s="13" t="s">
        <v>36</v>
      </c>
      <c r="C31" s="8" t="s">
        <v>159</v>
      </c>
      <c r="D31" s="8" t="s">
        <v>105</v>
      </c>
      <c r="E31" s="13" t="str">
        <f>IF(ISBLANK(D31), "", VLOOKUP(D31, Config!$F$6:$G$29, 2, FALSE()))</f>
        <v>Variable</v>
      </c>
      <c r="F31" s="16">
        <v>26.8</v>
      </c>
      <c r="G31" s="24" t="s">
        <v>118</v>
      </c>
    </row>
    <row r="32" ht="15.0" customHeight="1">
      <c r="A32" s="12">
        <v>46114.0</v>
      </c>
      <c r="B32" s="13" t="s">
        <v>36</v>
      </c>
      <c r="C32" s="8" t="s">
        <v>159</v>
      </c>
      <c r="D32" s="8" t="s">
        <v>105</v>
      </c>
      <c r="E32" s="13" t="str">
        <f>IF(ISBLANK(D32), "", VLOOKUP(D32, Config!$F$6:$G$29, 2, FALSE()))</f>
        <v>Variable</v>
      </c>
      <c r="F32" s="16">
        <v>9899.7</v>
      </c>
      <c r="G32" s="24" t="s">
        <v>118</v>
      </c>
    </row>
    <row r="33" ht="15.0" customHeight="1">
      <c r="A33" s="12">
        <v>46115.0</v>
      </c>
      <c r="B33" s="13" t="s">
        <v>36</v>
      </c>
      <c r="C33" s="8" t="s">
        <v>168</v>
      </c>
      <c r="D33" s="8" t="s">
        <v>105</v>
      </c>
      <c r="E33" s="13" t="str">
        <f>IF(ISBLANK(D33), "", VLOOKUP(D33, Config!$F$6:$G$29, 2, FALSE()))</f>
        <v>Variable</v>
      </c>
      <c r="F33" s="16">
        <v>429.0</v>
      </c>
      <c r="G33" s="24" t="s">
        <v>118</v>
      </c>
    </row>
    <row r="34" ht="15.0" customHeight="1">
      <c r="A34" s="12">
        <v>46115.0</v>
      </c>
      <c r="B34" s="13" t="s">
        <v>36</v>
      </c>
      <c r="C34" s="8" t="s">
        <v>171</v>
      </c>
      <c r="D34" s="8" t="s">
        <v>93</v>
      </c>
      <c r="E34" s="13" t="str">
        <f>IF(ISBLANK(D34), "", VLOOKUP(D34, Config!$F$6:$G$29, 2, FALSE()))</f>
        <v>Variable</v>
      </c>
      <c r="F34" s="16">
        <v>46900.0</v>
      </c>
      <c r="G34" s="24" t="s">
        <v>118</v>
      </c>
    </row>
    <row r="35" ht="15.0" customHeight="1">
      <c r="A35" s="12">
        <v>46115.0</v>
      </c>
      <c r="B35" s="13" t="s">
        <v>36</v>
      </c>
      <c r="C35" s="8" t="s">
        <v>178</v>
      </c>
      <c r="D35" s="8" t="s">
        <v>102</v>
      </c>
      <c r="E35" s="13" t="str">
        <f>IF(ISBLANK(D35), "", VLOOKUP(D35, Config!$F$6:$G$29, 2, FALSE()))</f>
        <v>Variable</v>
      </c>
      <c r="F35" s="16">
        <v>19083.0</v>
      </c>
      <c r="G35" s="24" t="s">
        <v>118</v>
      </c>
    </row>
    <row r="36" ht="15.0" customHeight="1">
      <c r="A36" s="12">
        <v>46121.0</v>
      </c>
      <c r="B36" s="13" t="s">
        <v>36</v>
      </c>
      <c r="C36" s="8" t="s">
        <v>182</v>
      </c>
      <c r="D36" s="8" t="s">
        <v>76</v>
      </c>
      <c r="E36" s="13" t="str">
        <f>IF(ISBLANK(D36), "", VLOOKUP(D36, Config!$F$6:$G$29, 2, FALSE()))</f>
        <v>Fijo</v>
      </c>
      <c r="F36" s="16">
        <v>1034.88</v>
      </c>
      <c r="G36" s="24" t="s">
        <v>118</v>
      </c>
    </row>
    <row r="37" ht="15.0" customHeight="1">
      <c r="A37" s="12">
        <v>46121.0</v>
      </c>
      <c r="B37" s="13" t="s">
        <v>36</v>
      </c>
      <c r="C37" s="8" t="s">
        <v>182</v>
      </c>
      <c r="D37" s="8" t="s">
        <v>76</v>
      </c>
      <c r="E37" s="13" t="str">
        <f>IF(ISBLANK(D37), "", VLOOKUP(D37, Config!$F$6:$G$29, 2, FALSE()))</f>
        <v>Fijo</v>
      </c>
      <c r="F37" s="16">
        <v>1081.51</v>
      </c>
      <c r="G37" s="24" t="s">
        <v>118</v>
      </c>
    </row>
    <row r="38" ht="15.0" customHeight="1">
      <c r="A38" s="12">
        <v>46121.0</v>
      </c>
      <c r="B38" s="13" t="s">
        <v>36</v>
      </c>
      <c r="C38" s="8" t="s">
        <v>184</v>
      </c>
      <c r="D38" s="8" t="s">
        <v>85</v>
      </c>
      <c r="E38" s="13" t="str">
        <f>IF(ISBLANK(D38), "", VLOOKUP(D38, Config!$F$6:$G$29, 2, FALSE()))</f>
        <v>Fijo</v>
      </c>
      <c r="F38" s="16">
        <v>64523.58</v>
      </c>
      <c r="G38" s="24" t="s">
        <v>118</v>
      </c>
    </row>
    <row r="39" ht="15.0" customHeight="1">
      <c r="A39" s="12">
        <v>46124.0</v>
      </c>
      <c r="B39" s="13" t="s">
        <v>36</v>
      </c>
      <c r="C39" s="8" t="s">
        <v>149</v>
      </c>
      <c r="D39" s="8" t="s">
        <v>88</v>
      </c>
      <c r="E39" s="13" t="str">
        <f>IF(ISBLANK(D39), "", VLOOKUP(D39, Config!$F$6:$G$29, 2, FALSE()))</f>
        <v>Fijo</v>
      </c>
      <c r="F39" s="16">
        <v>7125.0</v>
      </c>
      <c r="G39" s="24" t="s">
        <v>118</v>
      </c>
    </row>
    <row r="40" ht="15.0" customHeight="1">
      <c r="A40" s="12">
        <v>46124.0</v>
      </c>
      <c r="B40" s="13" t="s">
        <v>36</v>
      </c>
      <c r="C40" s="8" t="s">
        <v>187</v>
      </c>
      <c r="D40" s="8" t="s">
        <v>102</v>
      </c>
      <c r="E40" s="13" t="str">
        <f>IF(ISBLANK(D40), "", VLOOKUP(D40, Config!$F$6:$G$29, 2, FALSE()))</f>
        <v>Variable</v>
      </c>
      <c r="F40" s="16">
        <v>16940.0</v>
      </c>
      <c r="G40" s="24" t="s">
        <v>118</v>
      </c>
    </row>
    <row r="41" ht="15.0" customHeight="1">
      <c r="A41" s="12">
        <v>46124.0</v>
      </c>
      <c r="B41" s="13" t="s">
        <v>36</v>
      </c>
      <c r="C41" s="8" t="s">
        <v>189</v>
      </c>
      <c r="D41" s="8" t="s">
        <v>88</v>
      </c>
      <c r="E41" s="13" t="str">
        <f>IF(ISBLANK(D41), "", VLOOKUP(D41, Config!$F$6:$G$29, 2, FALSE()))</f>
        <v>Fijo</v>
      </c>
      <c r="F41" s="16">
        <v>-2137.5</v>
      </c>
      <c r="G41" s="24" t="s">
        <v>118</v>
      </c>
    </row>
    <row r="42" ht="15.0" customHeight="1">
      <c r="A42" s="12">
        <v>46126.0</v>
      </c>
      <c r="B42" s="13" t="s">
        <v>36</v>
      </c>
      <c r="C42" s="8" t="s">
        <v>190</v>
      </c>
      <c r="D42" s="8" t="s">
        <v>102</v>
      </c>
      <c r="E42" s="13" t="str">
        <f>IF(ISBLANK(D42), "", VLOOKUP(D42, Config!$F$6:$G$29, 2, FALSE()))</f>
        <v>Variable</v>
      </c>
      <c r="F42" s="16">
        <v>7690.0</v>
      </c>
      <c r="G42" s="24" t="s">
        <v>118</v>
      </c>
    </row>
    <row r="43" ht="15.0" customHeight="1">
      <c r="A43" s="12">
        <v>46126.0</v>
      </c>
      <c r="B43" s="13" t="s">
        <v>36</v>
      </c>
      <c r="C43" s="8" t="s">
        <v>192</v>
      </c>
      <c r="D43" s="8" t="s">
        <v>88</v>
      </c>
      <c r="E43" s="13" t="str">
        <f>IF(ISBLANK(D43), "", VLOOKUP(D43, Config!$F$6:$G$29, 2, FALSE()))</f>
        <v>Fijo</v>
      </c>
      <c r="F43" s="16">
        <v>1644.54</v>
      </c>
      <c r="G43" s="24" t="s">
        <v>118</v>
      </c>
    </row>
    <row r="44" ht="15.0" customHeight="1">
      <c r="A44" s="12">
        <v>46127.0</v>
      </c>
      <c r="B44" s="13" t="s">
        <v>36</v>
      </c>
      <c r="C44" s="8" t="s">
        <v>194</v>
      </c>
      <c r="D44" s="8" t="s">
        <v>104</v>
      </c>
      <c r="E44" s="13" t="str">
        <f>IF(ISBLANK(D44), "", VLOOKUP(D44, Config!$F$6:$G$29, 2, FALSE()))</f>
        <v>Variable</v>
      </c>
      <c r="F44" s="16">
        <v>54295.12</v>
      </c>
      <c r="G44" s="24" t="s">
        <v>118</v>
      </c>
    </row>
    <row r="45" ht="15.0" customHeight="1">
      <c r="A45" s="12">
        <v>46127.0</v>
      </c>
      <c r="B45" s="13" t="s">
        <v>36</v>
      </c>
      <c r="C45" s="8" t="s">
        <v>196</v>
      </c>
      <c r="D45" s="8" t="s">
        <v>79</v>
      </c>
      <c r="E45" s="13" t="str">
        <f>IF(ISBLANK(D45), "", VLOOKUP(D45, Config!$F$6:$G$29, 2, FALSE()))</f>
        <v>Fijo</v>
      </c>
      <c r="F45" s="16">
        <v>31256.48</v>
      </c>
      <c r="G45" s="24" t="s">
        <v>118</v>
      </c>
    </row>
    <row r="46" ht="15.0" customHeight="1">
      <c r="A46" s="12">
        <v>46127.0</v>
      </c>
      <c r="B46" s="13" t="s">
        <v>36</v>
      </c>
      <c r="C46" s="8" t="s">
        <v>199</v>
      </c>
      <c r="D46" s="8" t="s">
        <v>81</v>
      </c>
      <c r="E46" s="13" t="str">
        <f>IF(ISBLANK(D46), "", VLOOKUP(D46, Config!$F$6:$G$29, 2, FALSE()))</f>
        <v>Fijo</v>
      </c>
      <c r="F46" s="16">
        <v>16236.9</v>
      </c>
      <c r="G46" s="24" t="s">
        <v>118</v>
      </c>
    </row>
    <row r="47" ht="15.0" customHeight="1">
      <c r="A47" s="12">
        <v>46129.0</v>
      </c>
      <c r="B47" s="13" t="s">
        <v>36</v>
      </c>
      <c r="C47" s="8" t="s">
        <v>208</v>
      </c>
      <c r="D47" s="8" t="s">
        <v>104</v>
      </c>
      <c r="E47" s="13" t="str">
        <f>IF(ISBLANK(D47), "", VLOOKUP(D47, Config!$F$6:$G$29, 2, FALSE()))</f>
        <v>Variable</v>
      </c>
      <c r="F47" s="16">
        <v>25300.0</v>
      </c>
      <c r="G47" s="24" t="s">
        <v>118</v>
      </c>
    </row>
    <row r="48" ht="15.0" customHeight="1">
      <c r="A48" s="12">
        <v>46131.0</v>
      </c>
      <c r="B48" s="13" t="s">
        <v>36</v>
      </c>
      <c r="C48" s="8" t="s">
        <v>210</v>
      </c>
      <c r="D48" s="8" t="s">
        <v>93</v>
      </c>
      <c r="E48" s="13" t="str">
        <f>IF(ISBLANK(D48), "", VLOOKUP(D48, Config!$F$6:$G$29, 2, FALSE()))</f>
        <v>Variable</v>
      </c>
      <c r="F48" s="16">
        <v>18000.0</v>
      </c>
      <c r="G48" s="24" t="s">
        <v>118</v>
      </c>
    </row>
    <row r="49" ht="15.0" customHeight="1">
      <c r="A49" s="12">
        <v>46131.0</v>
      </c>
      <c r="B49" s="13" t="s">
        <v>36</v>
      </c>
      <c r="C49" s="8" t="s">
        <v>210</v>
      </c>
      <c r="D49" s="8" t="s">
        <v>93</v>
      </c>
      <c r="E49" s="13" t="str">
        <f>IF(ISBLANK(D49), "", VLOOKUP(D49, Config!$F$6:$G$29, 2, FALSE()))</f>
        <v>Variable</v>
      </c>
      <c r="F49" s="16">
        <v>1000.0</v>
      </c>
      <c r="G49" s="24" t="s">
        <v>118</v>
      </c>
    </row>
    <row r="50" ht="15.0" customHeight="1">
      <c r="A50" s="12">
        <v>46133.0</v>
      </c>
      <c r="B50" s="13" t="s">
        <v>36</v>
      </c>
      <c r="C50" s="8" t="s">
        <v>213</v>
      </c>
      <c r="D50" s="8" t="s">
        <v>93</v>
      </c>
      <c r="E50" s="13" t="str">
        <f>IF(ISBLANK(D50), "", VLOOKUP(D50, Config!$F$6:$G$29, 2, FALSE()))</f>
        <v>Variable</v>
      </c>
      <c r="F50" s="16">
        <v>54386.41</v>
      </c>
      <c r="G50" s="24" t="s">
        <v>118</v>
      </c>
    </row>
    <row r="51" ht="15.0" customHeight="1">
      <c r="A51" s="12">
        <v>46133.0</v>
      </c>
      <c r="B51" s="13" t="s">
        <v>36</v>
      </c>
      <c r="C51" s="8" t="s">
        <v>145</v>
      </c>
      <c r="D51" s="8" t="s">
        <v>47</v>
      </c>
      <c r="E51" s="13" t="str">
        <f>IF(ISBLANK(D51), "", VLOOKUP(D51, Config!$F$6:$G$29, 2, FALSE()))</f>
        <v>Fijo</v>
      </c>
      <c r="F51" s="16">
        <v>167442.9</v>
      </c>
      <c r="G51" s="24" t="s">
        <v>118</v>
      </c>
    </row>
    <row r="52" ht="15.0" customHeight="1">
      <c r="A52" s="12">
        <v>46134.0</v>
      </c>
      <c r="B52" s="13" t="s">
        <v>36</v>
      </c>
      <c r="C52" s="8" t="s">
        <v>216</v>
      </c>
      <c r="D52" s="8" t="s">
        <v>100</v>
      </c>
      <c r="E52" s="13" t="str">
        <f>IF(ISBLANK(D52), "", VLOOKUP(D52, Config!$F$6:$G$29, 2, FALSE()))</f>
        <v>Fijo</v>
      </c>
      <c r="F52" s="16">
        <v>36345.44</v>
      </c>
      <c r="G52" s="24" t="s">
        <v>118</v>
      </c>
    </row>
    <row r="53" ht="15.0" customHeight="1">
      <c r="A53" s="12">
        <v>46135.0</v>
      </c>
      <c r="B53" s="13" t="s">
        <v>36</v>
      </c>
      <c r="C53" s="8" t="s">
        <v>217</v>
      </c>
      <c r="D53" s="8" t="s">
        <v>101</v>
      </c>
      <c r="E53" s="13" t="str">
        <f>IF(ISBLANK(D53), "", VLOOKUP(D53, Config!$F$6:$G$29, 2, FALSE()))</f>
        <v>Fijo</v>
      </c>
      <c r="F53" s="16">
        <v>29666.33</v>
      </c>
      <c r="G53" s="24" t="s">
        <v>118</v>
      </c>
    </row>
    <row r="54" ht="15.0" customHeight="1">
      <c r="A54" s="12">
        <v>46008.0</v>
      </c>
      <c r="B54" s="13" t="s">
        <v>63</v>
      </c>
      <c r="C54" s="8" t="s">
        <v>218</v>
      </c>
      <c r="D54" s="8" t="s">
        <v>105</v>
      </c>
      <c r="E54" s="13" t="str">
        <f>IF(ISBLANK(D54), "", VLOOKUP(D54, Config!$F$6:$G$29, 2, FALSE()))</f>
        <v>Variable</v>
      </c>
      <c r="F54" s="16">
        <v>11915.66</v>
      </c>
      <c r="G54" s="24" t="s">
        <v>118</v>
      </c>
    </row>
    <row r="55" ht="15.0" customHeight="1">
      <c r="A55" s="12">
        <v>46098.0</v>
      </c>
      <c r="B55" s="13" t="s">
        <v>63</v>
      </c>
      <c r="C55" s="8" t="s">
        <v>219</v>
      </c>
      <c r="D55" s="8" t="s">
        <v>108</v>
      </c>
      <c r="E55" s="13" t="str">
        <f>IF(ISBLANK(D55), "", VLOOKUP(D55, Config!$F$6:$G$29, 2, FALSE()))</f>
        <v>Variable</v>
      </c>
      <c r="F55" s="16">
        <v>5398.77</v>
      </c>
      <c r="G55" s="24" t="s">
        <v>118</v>
      </c>
    </row>
    <row r="56" ht="15.0" customHeight="1">
      <c r="A56" s="12">
        <v>46134.0</v>
      </c>
      <c r="B56" s="13" t="s">
        <v>63</v>
      </c>
      <c r="C56" s="8" t="s">
        <v>220</v>
      </c>
      <c r="D56" s="8" t="s">
        <v>100</v>
      </c>
      <c r="E56" s="13" t="str">
        <f>IF(ISBLANK(D56), "", VLOOKUP(D56, Config!$F$6:$G$29, 2, FALSE()))</f>
        <v>Fijo</v>
      </c>
      <c r="F56" s="16">
        <v>36345.42</v>
      </c>
      <c r="G56" s="24" t="s">
        <v>118</v>
      </c>
    </row>
    <row r="57" ht="15.0" customHeight="1">
      <c r="A57" s="12">
        <v>46135.0</v>
      </c>
      <c r="B57" s="13" t="s">
        <v>63</v>
      </c>
      <c r="C57" s="8" t="s">
        <v>159</v>
      </c>
      <c r="D57" s="8" t="s">
        <v>105</v>
      </c>
      <c r="E57" s="13" t="str">
        <f>IF(ISBLANK(D57), "", VLOOKUP(D57, Config!$F$6:$G$29, 2, FALSE()))</f>
        <v>Variable</v>
      </c>
      <c r="F57" s="16">
        <v>55.0</v>
      </c>
      <c r="G57" s="24" t="s">
        <v>118</v>
      </c>
    </row>
    <row r="58" ht="15.0" customHeight="1">
      <c r="A58" s="12">
        <v>46135.0</v>
      </c>
      <c r="B58" s="13" t="s">
        <v>63</v>
      </c>
      <c r="C58" s="8" t="s">
        <v>222</v>
      </c>
      <c r="D58" s="8" t="s">
        <v>105</v>
      </c>
      <c r="E58" s="13" t="str">
        <f>IF(ISBLANK(D58), "", VLOOKUP(D58, Config!$F$6:$G$29, 2, FALSE()))</f>
        <v>Variable</v>
      </c>
      <c r="F58" s="16">
        <v>33022.89</v>
      </c>
      <c r="G58" s="24" t="s">
        <v>118</v>
      </c>
    </row>
    <row r="59" ht="15.0" customHeight="1">
      <c r="A59" s="12">
        <v>46136.0</v>
      </c>
      <c r="B59" s="13" t="s">
        <v>63</v>
      </c>
      <c r="C59" s="8" t="s">
        <v>224</v>
      </c>
      <c r="D59" s="8" t="s">
        <v>104</v>
      </c>
      <c r="E59" s="13" t="str">
        <f>IF(ISBLANK(D59), "", VLOOKUP(D59, Config!$F$6:$G$29, 2, FALSE()))</f>
        <v>Variable</v>
      </c>
      <c r="F59" s="16">
        <v>25300.0</v>
      </c>
      <c r="G59" s="24" t="s">
        <v>118</v>
      </c>
    </row>
    <row r="60" ht="15.0" customHeight="1">
      <c r="A60" s="12">
        <v>46140.0</v>
      </c>
      <c r="B60" s="13" t="s">
        <v>63</v>
      </c>
      <c r="C60" s="8" t="s">
        <v>227</v>
      </c>
      <c r="D60" s="8" t="s">
        <v>93</v>
      </c>
      <c r="E60" s="13" t="str">
        <f>IF(ISBLANK(D60), "", VLOOKUP(D60, Config!$F$6:$G$29, 2, FALSE()))</f>
        <v>Variable</v>
      </c>
      <c r="F60" s="16">
        <v>337500.0</v>
      </c>
      <c r="G60" s="24" t="s">
        <v>118</v>
      </c>
    </row>
    <row r="61" ht="15.0" customHeight="1">
      <c r="A61" s="12">
        <v>46146.0</v>
      </c>
      <c r="B61" s="13" t="s">
        <v>63</v>
      </c>
      <c r="C61" s="8" t="s">
        <v>157</v>
      </c>
      <c r="D61" s="8" t="s">
        <v>78</v>
      </c>
      <c r="E61" s="13" t="str">
        <f>IF(ISBLANK(D61), "", VLOOKUP(D61, Config!$F$6:$G$29, 2, FALSE()))</f>
        <v>Fijo</v>
      </c>
      <c r="F61" s="16">
        <v>47792.1</v>
      </c>
      <c r="G61" s="24" t="s">
        <v>118</v>
      </c>
    </row>
    <row r="62" ht="15.0" customHeight="1">
      <c r="A62" s="12">
        <v>46146.0</v>
      </c>
      <c r="B62" s="13" t="s">
        <v>63</v>
      </c>
      <c r="C62" s="8" t="s">
        <v>196</v>
      </c>
      <c r="D62" s="8" t="s">
        <v>79</v>
      </c>
      <c r="E62" s="13" t="str">
        <f>IF(ISBLANK(D62), "", VLOOKUP(D62, Config!$F$6:$G$29, 2, FALSE()))</f>
        <v>Fijo</v>
      </c>
      <c r="F62" s="16">
        <v>33157.54</v>
      </c>
      <c r="G62" s="24" t="s">
        <v>118</v>
      </c>
    </row>
    <row r="63" ht="15.0" customHeight="1">
      <c r="A63" s="12">
        <v>46147.0</v>
      </c>
      <c r="B63" s="13" t="s">
        <v>63</v>
      </c>
      <c r="C63" s="8" t="s">
        <v>159</v>
      </c>
      <c r="D63" s="8" t="s">
        <v>105</v>
      </c>
      <c r="E63" s="13" t="str">
        <f>IF(ISBLANK(D63), "", VLOOKUP(D63, Config!$F$6:$G$29, 2, FALSE()))</f>
        <v>Variable</v>
      </c>
      <c r="F63" s="16">
        <v>299.9</v>
      </c>
      <c r="G63" s="24" t="s">
        <v>118</v>
      </c>
    </row>
    <row r="64" ht="15.0" customHeight="1">
      <c r="A64" s="12">
        <v>46147.0</v>
      </c>
      <c r="B64" s="13" t="s">
        <v>63</v>
      </c>
      <c r="C64" s="8" t="s">
        <v>159</v>
      </c>
      <c r="D64" s="8" t="s">
        <v>105</v>
      </c>
      <c r="E64" s="13" t="str">
        <f>IF(ISBLANK(D64), "", VLOOKUP(D64, Config!$F$6:$G$29, 2, FALSE()))</f>
        <v>Variable</v>
      </c>
      <c r="F64" s="16">
        <v>224.9</v>
      </c>
      <c r="G64" s="24" t="s">
        <v>118</v>
      </c>
    </row>
    <row r="65" ht="15.0" customHeight="1">
      <c r="A65" s="12">
        <v>46149.0</v>
      </c>
      <c r="B65" s="13" t="s">
        <v>63</v>
      </c>
      <c r="C65" s="8" t="s">
        <v>228</v>
      </c>
      <c r="D65" s="8" t="s">
        <v>102</v>
      </c>
      <c r="E65" s="13" t="str">
        <f>IF(ISBLANK(D65), "", VLOOKUP(D65, Config!$F$6:$G$29, 2, FALSE()))</f>
        <v>Variable</v>
      </c>
      <c r="F65" s="16">
        <v>13890.0</v>
      </c>
      <c r="G65" s="24" t="s">
        <v>118</v>
      </c>
    </row>
    <row r="66" ht="15.0" customHeight="1">
      <c r="A66" s="12">
        <v>46151.0</v>
      </c>
      <c r="B66" s="13" t="s">
        <v>63</v>
      </c>
      <c r="C66" s="8" t="s">
        <v>229</v>
      </c>
      <c r="D66" s="8" t="s">
        <v>93</v>
      </c>
      <c r="E66" s="13" t="str">
        <f>IF(ISBLANK(D66), "", VLOOKUP(D66, Config!$F$6:$G$29, 2, FALSE()))</f>
        <v>Variable</v>
      </c>
      <c r="F66" s="16">
        <v>8800.0</v>
      </c>
      <c r="G66" s="24" t="s">
        <v>118</v>
      </c>
    </row>
    <row r="67" ht="15.0" customHeight="1">
      <c r="A67" s="12">
        <v>46152.0</v>
      </c>
      <c r="B67" s="13" t="s">
        <v>63</v>
      </c>
      <c r="C67" s="8" t="s">
        <v>182</v>
      </c>
      <c r="D67" s="8" t="s">
        <v>76</v>
      </c>
      <c r="E67" s="13" t="str">
        <f>IF(ISBLANK(D67), "", VLOOKUP(D67, Config!$F$6:$G$29, 2, FALSE()))</f>
        <v>Fijo</v>
      </c>
      <c r="F67" s="16">
        <v>1034.88</v>
      </c>
      <c r="G67" s="24" t="s">
        <v>118</v>
      </c>
    </row>
    <row r="68" ht="15.0" customHeight="1">
      <c r="A68" s="12">
        <v>46152.0</v>
      </c>
      <c r="B68" s="13" t="s">
        <v>63</v>
      </c>
      <c r="C68" s="8" t="s">
        <v>182</v>
      </c>
      <c r="D68" s="8" t="s">
        <v>76</v>
      </c>
      <c r="E68" s="13" t="str">
        <f>IF(ISBLANK(D68), "", VLOOKUP(D68, Config!$F$6:$G$29, 2, FALSE()))</f>
        <v>Fijo</v>
      </c>
      <c r="F68" s="16">
        <v>1081.51</v>
      </c>
      <c r="G68" s="24" t="s">
        <v>118</v>
      </c>
    </row>
    <row r="69" ht="15.0" customHeight="1">
      <c r="A69" s="12">
        <v>46152.0</v>
      </c>
      <c r="B69" s="13" t="s">
        <v>63</v>
      </c>
      <c r="C69" s="8" t="s">
        <v>230</v>
      </c>
      <c r="D69" s="8" t="s">
        <v>93</v>
      </c>
      <c r="E69" s="13" t="str">
        <f>IF(ISBLANK(D69), "", VLOOKUP(D69, Config!$F$6:$G$29, 2, FALSE()))</f>
        <v>Variable</v>
      </c>
      <c r="F69" s="16">
        <v>6800.0</v>
      </c>
      <c r="G69" s="24" t="s">
        <v>118</v>
      </c>
    </row>
    <row r="70" ht="15.0" customHeight="1">
      <c r="A70" s="12">
        <v>46153.0</v>
      </c>
      <c r="B70" s="13" t="s">
        <v>63</v>
      </c>
      <c r="C70" s="8" t="s">
        <v>222</v>
      </c>
      <c r="D70" s="8" t="s">
        <v>105</v>
      </c>
      <c r="E70" s="13" t="str">
        <f>IF(ISBLANK(D70), "", VLOOKUP(D70, Config!$F$6:$G$29, 2, FALSE()))</f>
        <v>Variable</v>
      </c>
      <c r="F70" s="16">
        <v>66899.0</v>
      </c>
      <c r="G70" s="24" t="s">
        <v>118</v>
      </c>
    </row>
    <row r="71" ht="15.0" customHeight="1">
      <c r="A71" s="12">
        <v>46153.0</v>
      </c>
      <c r="B71" s="13" t="s">
        <v>63</v>
      </c>
      <c r="C71" s="8" t="s">
        <v>231</v>
      </c>
      <c r="D71" s="8" t="s">
        <v>85</v>
      </c>
      <c r="E71" s="13" t="str">
        <f>IF(ISBLANK(D71), "", VLOOKUP(D71, Config!$F$6:$G$29, 2, FALSE()))</f>
        <v>Fijo</v>
      </c>
      <c r="F71" s="16">
        <v>19799.98</v>
      </c>
      <c r="G71" s="24" t="s">
        <v>118</v>
      </c>
    </row>
    <row r="72" ht="15.0" customHeight="1">
      <c r="A72" s="12">
        <v>46153.0</v>
      </c>
      <c r="B72" s="13" t="s">
        <v>63</v>
      </c>
      <c r="C72" s="8" t="s">
        <v>232</v>
      </c>
      <c r="D72" s="8" t="s">
        <v>85</v>
      </c>
      <c r="E72" s="13" t="str">
        <f>IF(ISBLANK(D72), "", VLOOKUP(D72, Config!$F$6:$G$29, 2, FALSE()))</f>
        <v>Fijo</v>
      </c>
      <c r="F72" s="16">
        <v>66920.01</v>
      </c>
      <c r="G72" s="24" t="s">
        <v>118</v>
      </c>
    </row>
    <row r="73" ht="15.0" customHeight="1">
      <c r="A73" s="12">
        <v>46153.0</v>
      </c>
      <c r="B73" s="13" t="s">
        <v>63</v>
      </c>
      <c r="C73" s="8" t="s">
        <v>233</v>
      </c>
      <c r="D73" s="8" t="s">
        <v>105</v>
      </c>
      <c r="E73" s="13" t="str">
        <f>IF(ISBLANK(D73), "", VLOOKUP(D73, Config!$F$6:$G$29, 2, FALSE()))</f>
        <v>Variable</v>
      </c>
      <c r="F73" s="16">
        <v>38333.2</v>
      </c>
      <c r="G73" s="24" t="s">
        <v>118</v>
      </c>
    </row>
    <row r="74" ht="15.0" customHeight="1">
      <c r="A74" s="12">
        <v>46153.0</v>
      </c>
      <c r="B74" s="13" t="s">
        <v>63</v>
      </c>
      <c r="C74" s="8" t="s">
        <v>234</v>
      </c>
      <c r="D74" s="8" t="s">
        <v>105</v>
      </c>
      <c r="E74" s="13" t="str">
        <f>IF(ISBLANK(D74), "", VLOOKUP(D74, Config!$F$6:$G$29, 2, FALSE()))</f>
        <v>Variable</v>
      </c>
      <c r="F74" s="16">
        <v>38333.16</v>
      </c>
      <c r="G74" s="24" t="s">
        <v>118</v>
      </c>
    </row>
    <row r="75" ht="15.0" customHeight="1">
      <c r="A75" s="12">
        <v>46153.0</v>
      </c>
      <c r="B75" s="13" t="s">
        <v>63</v>
      </c>
      <c r="C75" s="8" t="s">
        <v>235</v>
      </c>
      <c r="D75" s="8" t="s">
        <v>105</v>
      </c>
      <c r="E75" s="13" t="str">
        <f>IF(ISBLANK(D75), "", VLOOKUP(D75, Config!$F$6:$G$29, 2, FALSE()))</f>
        <v>Variable</v>
      </c>
      <c r="F75" s="16">
        <v>38333.16</v>
      </c>
      <c r="G75" s="24" t="s">
        <v>118</v>
      </c>
    </row>
    <row r="76" ht="15.0" customHeight="1">
      <c r="A76" s="12">
        <v>46153.0</v>
      </c>
      <c r="B76" s="13" t="s">
        <v>63</v>
      </c>
      <c r="C76" s="8" t="s">
        <v>236</v>
      </c>
      <c r="D76" s="8" t="s">
        <v>105</v>
      </c>
      <c r="E76" s="13" t="str">
        <f>IF(ISBLANK(D76), "", VLOOKUP(D76, Config!$F$6:$G$29, 2, FALSE()))</f>
        <v>Variable</v>
      </c>
      <c r="F76" s="16">
        <v>38333.16</v>
      </c>
      <c r="G76" s="24" t="s">
        <v>118</v>
      </c>
    </row>
    <row r="77" ht="15.0" customHeight="1">
      <c r="A77" s="12">
        <v>46153.0</v>
      </c>
      <c r="B77" s="13" t="s">
        <v>63</v>
      </c>
      <c r="C77" s="8" t="s">
        <v>237</v>
      </c>
      <c r="D77" s="8" t="s">
        <v>105</v>
      </c>
      <c r="E77" s="13" t="str">
        <f>IF(ISBLANK(D77), "", VLOOKUP(D77, Config!$F$6:$G$29, 2, FALSE()))</f>
        <v>Variable</v>
      </c>
      <c r="F77" s="16">
        <v>38333.16</v>
      </c>
      <c r="G77" s="24" t="s">
        <v>118</v>
      </c>
    </row>
    <row r="78" ht="15.0" customHeight="1">
      <c r="A78" s="12">
        <v>46153.0</v>
      </c>
      <c r="B78" s="13" t="s">
        <v>63</v>
      </c>
      <c r="C78" s="8" t="s">
        <v>239</v>
      </c>
      <c r="D78" s="8" t="s">
        <v>105</v>
      </c>
      <c r="E78" s="13" t="str">
        <f>IF(ISBLANK(D78), "", VLOOKUP(D78, Config!$F$6:$G$29, 2, FALSE()))</f>
        <v>Variable</v>
      </c>
      <c r="F78" s="16">
        <v>38333.16</v>
      </c>
      <c r="G78" s="24" t="s">
        <v>118</v>
      </c>
    </row>
    <row r="79" ht="15.0" customHeight="1">
      <c r="A79" s="12">
        <v>46155.0</v>
      </c>
      <c r="B79" s="13" t="s">
        <v>63</v>
      </c>
      <c r="C79" s="8" t="s">
        <v>247</v>
      </c>
      <c r="D79" s="8" t="s">
        <v>101</v>
      </c>
      <c r="E79" s="13" t="str">
        <f>IF(ISBLANK(D79), "", VLOOKUP(D79, Config!$F$6:$G$29, 2, FALSE()))</f>
        <v>Fijo</v>
      </c>
      <c r="F79" s="16">
        <v>5530.0</v>
      </c>
      <c r="G79" s="24" t="s">
        <v>118</v>
      </c>
    </row>
    <row r="80" ht="15.0" customHeight="1">
      <c r="A80" s="12">
        <v>46160.0</v>
      </c>
      <c r="B80" s="13" t="s">
        <v>63</v>
      </c>
      <c r="C80" s="8" t="s">
        <v>199</v>
      </c>
      <c r="D80" s="8" t="s">
        <v>81</v>
      </c>
      <c r="E80" s="13" t="str">
        <f>IF(ISBLANK(D80), "", VLOOKUP(D80, Config!$F$6:$G$29, 2, FALSE()))</f>
        <v>Fijo</v>
      </c>
      <c r="F80" s="16">
        <v>22574.27</v>
      </c>
      <c r="G80" s="24" t="s">
        <v>118</v>
      </c>
    </row>
    <row r="81" ht="15.0" customHeight="1">
      <c r="A81" s="25">
        <v>46156.0</v>
      </c>
      <c r="B81" s="14" t="s">
        <v>63</v>
      </c>
      <c r="C81" s="26" t="s">
        <v>95</v>
      </c>
      <c r="D81" s="26" t="s">
        <v>93</v>
      </c>
      <c r="E81" s="13" t="str">
        <f>IF(ISBLANK(D81), "", VLOOKUP(D81, Config!$F$6:$G$29, 2, FALSE()))</f>
        <v>Variable</v>
      </c>
      <c r="F81" s="27">
        <v>1000000.0</v>
      </c>
      <c r="G81" s="29" t="s">
        <v>123</v>
      </c>
    </row>
    <row r="82" ht="15.0" customHeight="1">
      <c r="A82" s="12">
        <v>46162.0</v>
      </c>
      <c r="B82" s="13" t="s">
        <v>63</v>
      </c>
      <c r="C82" s="8" t="s">
        <v>248</v>
      </c>
      <c r="D82" s="8" t="s">
        <v>93</v>
      </c>
      <c r="E82" s="13" t="str">
        <f>IF(ISBLANK(D82), "", VLOOKUP(D82, Config!$F$6:$G$29, 2, FALSE()))</f>
        <v>Variable</v>
      </c>
      <c r="F82" s="16">
        <v>14000.0</v>
      </c>
      <c r="G82" s="24" t="s">
        <v>118</v>
      </c>
    </row>
    <row r="83" ht="15.0" customHeight="1">
      <c r="A83" s="12">
        <v>46162.0</v>
      </c>
      <c r="B83" s="13" t="s">
        <v>63</v>
      </c>
      <c r="C83" s="8" t="s">
        <v>249</v>
      </c>
      <c r="D83" s="8" t="s">
        <v>105</v>
      </c>
      <c r="E83" s="13" t="str">
        <f>IF(ISBLANK(D83), "", VLOOKUP(D83, Config!$F$6:$G$29, 2, FALSE()))</f>
        <v>Variable</v>
      </c>
      <c r="F83" s="16">
        <v>-229999.0</v>
      </c>
      <c r="G83" s="24" t="s">
        <v>118</v>
      </c>
    </row>
    <row r="84" ht="15.0" customHeight="1">
      <c r="A84" s="12">
        <v>46163.0</v>
      </c>
      <c r="B84" s="13" t="s">
        <v>63</v>
      </c>
      <c r="C84" s="8" t="s">
        <v>217</v>
      </c>
      <c r="D84" s="8" t="s">
        <v>101</v>
      </c>
      <c r="E84" s="13" t="str">
        <f>IF(ISBLANK(D84), "", VLOOKUP(D84, Config!$F$6:$G$29, 2, FALSE()))</f>
        <v>Fijo</v>
      </c>
      <c r="F84" s="16">
        <v>23048.91</v>
      </c>
      <c r="G84" s="24" t="s">
        <v>118</v>
      </c>
    </row>
    <row r="85" ht="15.0" customHeight="1">
      <c r="A85" s="12">
        <v>46163.0</v>
      </c>
      <c r="B85" s="13" t="s">
        <v>63</v>
      </c>
      <c r="C85" s="8" t="s">
        <v>250</v>
      </c>
      <c r="D85" s="8" t="s">
        <v>107</v>
      </c>
      <c r="E85" s="13" t="str">
        <f>IF(ISBLANK(D85), "", VLOOKUP(D85, Config!$F$6:$G$29, 2, FALSE()))</f>
        <v>Variable</v>
      </c>
      <c r="F85" s="16">
        <v>50523.0</v>
      </c>
      <c r="G85" s="24" t="s">
        <v>118</v>
      </c>
    </row>
    <row r="86" ht="15.0" customHeight="1">
      <c r="A86" s="12">
        <v>46098.0</v>
      </c>
      <c r="B86" s="13" t="s">
        <v>77</v>
      </c>
      <c r="C86" s="8" t="s">
        <v>251</v>
      </c>
      <c r="D86" s="8" t="s">
        <v>108</v>
      </c>
      <c r="E86" s="13" t="str">
        <f>IF(ISBLANK(D86), "", VLOOKUP(D86, Config!$F$6:$G$29, 2, FALSE()))</f>
        <v>Variable</v>
      </c>
      <c r="F86" s="16">
        <v>5398.77</v>
      </c>
      <c r="G86" s="24" t="s">
        <v>118</v>
      </c>
    </row>
    <row r="87" ht="15.0" customHeight="1">
      <c r="A87" s="12">
        <v>46134.0</v>
      </c>
      <c r="B87" s="13" t="s">
        <v>77</v>
      </c>
      <c r="C87" s="8" t="s">
        <v>252</v>
      </c>
      <c r="D87" s="8" t="s">
        <v>100</v>
      </c>
      <c r="E87" s="13" t="str">
        <f>IF(ISBLANK(D87), "", VLOOKUP(D87, Config!$F$6:$G$29, 2, FALSE()))</f>
        <v>Fijo</v>
      </c>
      <c r="F87" s="16">
        <v>36345.42</v>
      </c>
      <c r="G87" s="24" t="s">
        <v>118</v>
      </c>
    </row>
    <row r="88" ht="15.0" customHeight="1">
      <c r="A88" s="12">
        <v>46153.0</v>
      </c>
      <c r="B88" s="13" t="s">
        <v>77</v>
      </c>
      <c r="C88" s="8" t="s">
        <v>253</v>
      </c>
      <c r="D88" s="8" t="s">
        <v>85</v>
      </c>
      <c r="E88" s="13" t="str">
        <f>IF(ISBLANK(D88), "", VLOOKUP(D88, Config!$F$6:$G$29, 2, FALSE()))</f>
        <v>Fijo</v>
      </c>
      <c r="F88" s="16">
        <v>19799.93</v>
      </c>
      <c r="G88" s="24" t="s">
        <v>118</v>
      </c>
    </row>
    <row r="89" ht="15.0" customHeight="1">
      <c r="A89" s="12">
        <v>46163.0</v>
      </c>
      <c r="B89" s="13" t="s">
        <v>77</v>
      </c>
      <c r="C89" s="8" t="s">
        <v>254</v>
      </c>
      <c r="D89" s="8" t="s">
        <v>93</v>
      </c>
      <c r="E89" s="13" t="str">
        <f>IF(ISBLANK(D89), "", VLOOKUP(D89, Config!$F$6:$G$29, 2, FALSE()))</f>
        <v>Variable</v>
      </c>
      <c r="F89" s="16">
        <v>46606.0</v>
      </c>
      <c r="G89" s="24" t="s">
        <v>118</v>
      </c>
    </row>
    <row r="90" ht="15.0" customHeight="1">
      <c r="A90" s="12">
        <v>46163.0</v>
      </c>
      <c r="B90" s="13" t="s">
        <v>77</v>
      </c>
      <c r="C90" s="8" t="s">
        <v>149</v>
      </c>
      <c r="D90" s="8" t="s">
        <v>88</v>
      </c>
      <c r="E90" s="13" t="str">
        <f>IF(ISBLANK(D90), "", VLOOKUP(D90, Config!$F$6:$G$29, 2, FALSE()))</f>
        <v>Fijo</v>
      </c>
      <c r="F90" s="16">
        <v>2465.0</v>
      </c>
      <c r="G90" s="24" t="s">
        <v>118</v>
      </c>
    </row>
    <row r="91" ht="15.0" customHeight="1">
      <c r="A91" s="12">
        <v>46163.0</v>
      </c>
      <c r="B91" s="13" t="s">
        <v>77</v>
      </c>
      <c r="C91" s="8" t="s">
        <v>145</v>
      </c>
      <c r="D91" s="8" t="s">
        <v>47</v>
      </c>
      <c r="E91" s="13" t="str">
        <f>IF(ISBLANK(D91), "", VLOOKUP(D91, Config!$F$6:$G$29, 2, FALSE()))</f>
        <v>Fijo</v>
      </c>
      <c r="F91" s="16">
        <v>218514.0</v>
      </c>
      <c r="G91" s="24" t="s">
        <v>118</v>
      </c>
    </row>
    <row r="92" ht="15.0" customHeight="1">
      <c r="A92" s="12">
        <v>46164.0</v>
      </c>
      <c r="B92" s="13" t="s">
        <v>77</v>
      </c>
      <c r="C92" s="8" t="s">
        <v>178</v>
      </c>
      <c r="D92" s="8" t="s">
        <v>102</v>
      </c>
      <c r="E92" s="13" t="str">
        <f>IF(ISBLANK(D92), "", VLOOKUP(D92, Config!$F$6:$G$29, 2, FALSE()))</f>
        <v>Variable</v>
      </c>
      <c r="F92" s="16">
        <v>20481.0</v>
      </c>
      <c r="G92" s="24" t="s">
        <v>118</v>
      </c>
    </row>
    <row r="93" ht="15.0" customHeight="1">
      <c r="A93" s="12">
        <v>46167.0</v>
      </c>
      <c r="B93" s="13" t="s">
        <v>77</v>
      </c>
      <c r="C93" s="8" t="s">
        <v>222</v>
      </c>
      <c r="D93" s="8" t="s">
        <v>105</v>
      </c>
      <c r="E93" s="13" t="str">
        <f>IF(ISBLANK(D93), "", VLOOKUP(D93, Config!$F$6:$G$29, 2, FALSE()))</f>
        <v>Variable</v>
      </c>
      <c r="F93" s="16">
        <v>132457.62</v>
      </c>
      <c r="G93" s="24" t="s">
        <v>118</v>
      </c>
    </row>
    <row r="94" ht="15.0" customHeight="1">
      <c r="A94" s="12">
        <v>46167.0</v>
      </c>
      <c r="B94" s="13" t="s">
        <v>77</v>
      </c>
      <c r="C94" s="8" t="s">
        <v>255</v>
      </c>
      <c r="D94" s="8" t="s">
        <v>90</v>
      </c>
      <c r="E94" s="13" t="str">
        <f>IF(ISBLANK(D94), "", VLOOKUP(D94, Config!$F$6:$G$29, 2, FALSE()))</f>
        <v>Fijo</v>
      </c>
      <c r="F94" s="16">
        <v>125000.0</v>
      </c>
      <c r="G94" s="24" t="s">
        <v>118</v>
      </c>
    </row>
    <row r="95" ht="15.0" customHeight="1">
      <c r="A95" s="12">
        <v>46168.0</v>
      </c>
      <c r="B95" s="13" t="s">
        <v>77</v>
      </c>
      <c r="C95" s="8" t="s">
        <v>247</v>
      </c>
      <c r="D95" s="8" t="s">
        <v>101</v>
      </c>
      <c r="E95" s="13" t="str">
        <f>IF(ISBLANK(D95), "", VLOOKUP(D95, Config!$F$6:$G$29, 2, FALSE()))</f>
        <v>Fijo</v>
      </c>
      <c r="F95" s="16">
        <v>1410.0</v>
      </c>
      <c r="G95" s="24" t="s">
        <v>118</v>
      </c>
    </row>
    <row r="96" ht="15.0" customHeight="1">
      <c r="A96" s="12">
        <v>46168.0</v>
      </c>
      <c r="B96" s="13" t="s">
        <v>77</v>
      </c>
      <c r="C96" s="8" t="s">
        <v>157</v>
      </c>
      <c r="D96" s="8" t="s">
        <v>78</v>
      </c>
      <c r="E96" s="13" t="str">
        <f>IF(ISBLANK(D96), "", VLOOKUP(D96, Config!$F$6:$G$29, 2, FALSE()))</f>
        <v>Fijo</v>
      </c>
      <c r="F96" s="16">
        <v>31622.9</v>
      </c>
      <c r="G96" s="24" t="s">
        <v>118</v>
      </c>
    </row>
    <row r="97" ht="15.0" customHeight="1">
      <c r="A97" s="12">
        <v>46169.0</v>
      </c>
      <c r="B97" s="13" t="s">
        <v>77</v>
      </c>
      <c r="C97" s="8" t="s">
        <v>256</v>
      </c>
      <c r="D97" s="8" t="s">
        <v>104</v>
      </c>
      <c r="E97" s="13" t="str">
        <f>IF(ISBLANK(D97), "", VLOOKUP(D97, Config!$F$6:$G$29, 2, FALSE()))</f>
        <v>Variable</v>
      </c>
      <c r="F97" s="16">
        <v>4028.0</v>
      </c>
      <c r="G97" s="24" t="s">
        <v>118</v>
      </c>
    </row>
    <row r="98" ht="15.0" customHeight="1">
      <c r="A98" s="12">
        <v>46170.0</v>
      </c>
      <c r="B98" s="13" t="s">
        <v>77</v>
      </c>
      <c r="C98" s="8" t="s">
        <v>257</v>
      </c>
      <c r="D98" s="8" t="s">
        <v>93</v>
      </c>
      <c r="E98" s="13" t="str">
        <f>IF(ISBLANK(D98), "", VLOOKUP(D98, Config!$F$6:$G$29, 2, FALSE()))</f>
        <v>Variable</v>
      </c>
      <c r="F98" s="16">
        <v>1720.0</v>
      </c>
      <c r="G98" s="24" t="s">
        <v>118</v>
      </c>
    </row>
    <row r="99" ht="15.0" customHeight="1">
      <c r="A99" s="12">
        <v>46170.0</v>
      </c>
      <c r="B99" s="13" t="s">
        <v>77</v>
      </c>
      <c r="C99" s="8" t="s">
        <v>258</v>
      </c>
      <c r="D99" s="8" t="s">
        <v>105</v>
      </c>
      <c r="E99" s="13" t="str">
        <f>IF(ISBLANK(D99), "", VLOOKUP(D99, Config!$F$6:$G$29, 2, FALSE()))</f>
        <v>Variable</v>
      </c>
      <c r="F99" s="16">
        <v>5636.62</v>
      </c>
      <c r="G99" s="24" t="s">
        <v>118</v>
      </c>
    </row>
    <row r="100" ht="15.0" customHeight="1">
      <c r="A100" s="12">
        <v>46170.0</v>
      </c>
      <c r="B100" s="13" t="s">
        <v>77</v>
      </c>
      <c r="C100" s="8" t="s">
        <v>259</v>
      </c>
      <c r="D100" s="8" t="s">
        <v>102</v>
      </c>
      <c r="E100" s="13" t="str">
        <f>IF(ISBLANK(D100), "", VLOOKUP(D100, Config!$F$6:$G$29, 2, FALSE()))</f>
        <v>Variable</v>
      </c>
      <c r="F100" s="16">
        <v>18410.0</v>
      </c>
      <c r="G100" s="24" t="s">
        <v>118</v>
      </c>
    </row>
    <row r="101" ht="15.0" customHeight="1">
      <c r="A101" s="12">
        <v>46171.0</v>
      </c>
      <c r="B101" s="13" t="s">
        <v>77</v>
      </c>
      <c r="C101" s="8" t="s">
        <v>260</v>
      </c>
      <c r="D101" s="8" t="s">
        <v>93</v>
      </c>
      <c r="E101" s="13" t="str">
        <f>IF(ISBLANK(D101), "", VLOOKUP(D101, Config!$F$6:$G$29, 2, FALSE()))</f>
        <v>Variable</v>
      </c>
      <c r="F101" s="16">
        <v>56796.59</v>
      </c>
      <c r="G101" s="24" t="s">
        <v>118</v>
      </c>
    </row>
    <row r="102" ht="15.0" customHeight="1">
      <c r="A102" s="12">
        <v>46173.0</v>
      </c>
      <c r="B102" s="13" t="s">
        <v>77</v>
      </c>
      <c r="C102" s="8" t="s">
        <v>261</v>
      </c>
      <c r="D102" s="8" t="s">
        <v>104</v>
      </c>
      <c r="E102" s="13" t="str">
        <f>IF(ISBLANK(D102), "", VLOOKUP(D102, Config!$F$6:$G$29, 2, FALSE()))</f>
        <v>Variable</v>
      </c>
      <c r="F102" s="16">
        <v>39366.0</v>
      </c>
      <c r="G102" s="24" t="s">
        <v>118</v>
      </c>
    </row>
    <row r="103" ht="15.0" customHeight="1">
      <c r="A103" s="12">
        <v>46173.0</v>
      </c>
      <c r="B103" s="13" t="s">
        <v>77</v>
      </c>
      <c r="C103" s="8" t="s">
        <v>255</v>
      </c>
      <c r="D103" s="8" t="s">
        <v>90</v>
      </c>
      <c r="E103" s="13" t="str">
        <f>IF(ISBLANK(D103), "", VLOOKUP(D103, Config!$F$6:$G$29, 2, FALSE()))</f>
        <v>Fijo</v>
      </c>
      <c r="F103" s="16">
        <v>17258.3</v>
      </c>
      <c r="G103" s="24" t="s">
        <v>118</v>
      </c>
    </row>
    <row r="104" ht="15.0" customHeight="1">
      <c r="A104" s="12">
        <v>46178.0</v>
      </c>
      <c r="B104" s="13" t="s">
        <v>77</v>
      </c>
      <c r="C104" s="8" t="s">
        <v>182</v>
      </c>
      <c r="D104" s="8" t="s">
        <v>76</v>
      </c>
      <c r="E104" s="13" t="str">
        <f>IF(ISBLANK(D104), "", VLOOKUP(D104, Config!$F$6:$G$29, 2, FALSE()))</f>
        <v>Fijo</v>
      </c>
      <c r="F104" s="16">
        <v>1059.72</v>
      </c>
      <c r="G104" s="24" t="s">
        <v>118</v>
      </c>
    </row>
    <row r="105" ht="15.0" customHeight="1">
      <c r="A105" s="12">
        <v>46178.0</v>
      </c>
      <c r="B105" s="13" t="s">
        <v>77</v>
      </c>
      <c r="C105" s="8" t="s">
        <v>182</v>
      </c>
      <c r="D105" s="8" t="s">
        <v>76</v>
      </c>
      <c r="E105" s="13" t="str">
        <f>IF(ISBLANK(D105), "", VLOOKUP(D105, Config!$F$6:$G$29, 2, FALSE()))</f>
        <v>Fijo</v>
      </c>
      <c r="F105" s="16">
        <v>809.0</v>
      </c>
      <c r="G105" s="24" t="s">
        <v>118</v>
      </c>
    </row>
    <row r="106" ht="15.0" customHeight="1">
      <c r="A106" s="12">
        <v>46178.0</v>
      </c>
      <c r="B106" s="13" t="s">
        <v>77</v>
      </c>
      <c r="C106" s="8" t="s">
        <v>182</v>
      </c>
      <c r="D106" s="8" t="s">
        <v>76</v>
      </c>
      <c r="E106" s="13" t="str">
        <f>IF(ISBLANK(D106), "", VLOOKUP(D106, Config!$F$6:$G$29, 2, FALSE()))</f>
        <v>Fijo</v>
      </c>
      <c r="F106" s="16">
        <v>1107.46</v>
      </c>
      <c r="G106" s="24" t="s">
        <v>118</v>
      </c>
    </row>
    <row r="107" ht="15.0" customHeight="1">
      <c r="A107" s="12">
        <v>46179.0</v>
      </c>
      <c r="B107" s="13" t="s">
        <v>77</v>
      </c>
      <c r="C107" s="8" t="s">
        <v>262</v>
      </c>
      <c r="D107" s="8" t="s">
        <v>102</v>
      </c>
      <c r="E107" s="13" t="str">
        <f>IF(ISBLANK(D107), "", VLOOKUP(D107, Config!$F$6:$G$29, 2, FALSE()))</f>
        <v>Variable</v>
      </c>
      <c r="F107" s="16">
        <v>30259.0</v>
      </c>
      <c r="G107" s="24" t="s">
        <v>118</v>
      </c>
    </row>
    <row r="108" ht="15.0" customHeight="1">
      <c r="A108" s="12">
        <v>46180.0</v>
      </c>
      <c r="B108" s="13" t="s">
        <v>77</v>
      </c>
      <c r="C108" s="8" t="s">
        <v>159</v>
      </c>
      <c r="D108" s="8" t="s">
        <v>105</v>
      </c>
      <c r="E108" s="13" t="str">
        <f>IF(ISBLANK(D108), "", VLOOKUP(D108, Config!$F$6:$G$29, 2, FALSE()))</f>
        <v>Variable</v>
      </c>
      <c r="F108" s="16">
        <v>179.9</v>
      </c>
      <c r="G108" s="24" t="s">
        <v>118</v>
      </c>
    </row>
    <row r="109" ht="15.0" customHeight="1">
      <c r="A109" s="12">
        <v>46181.0</v>
      </c>
      <c r="B109" s="13" t="s">
        <v>77</v>
      </c>
      <c r="C109" s="8" t="s">
        <v>263</v>
      </c>
      <c r="D109" s="8" t="s">
        <v>81</v>
      </c>
      <c r="E109" s="13" t="str">
        <f>IF(ISBLANK(D109), "", VLOOKUP(D109, Config!$F$6:$G$29, 2, FALSE()))</f>
        <v>Fijo</v>
      </c>
      <c r="F109" s="16">
        <v>22397.61</v>
      </c>
      <c r="G109" s="24" t="s">
        <v>118</v>
      </c>
    </row>
    <row r="110" ht="15.0" customHeight="1">
      <c r="A110" s="12">
        <v>46181.0</v>
      </c>
      <c r="B110" s="13" t="s">
        <v>77</v>
      </c>
      <c r="C110" s="8" t="s">
        <v>255</v>
      </c>
      <c r="D110" s="8" t="s">
        <v>90</v>
      </c>
      <c r="E110" s="13" t="str">
        <f>IF(ISBLANK(D110), "", VLOOKUP(D110, Config!$F$6:$G$29, 2, FALSE()))</f>
        <v>Fijo</v>
      </c>
      <c r="F110" s="16">
        <v>140000.0</v>
      </c>
      <c r="G110" s="24" t="s">
        <v>118</v>
      </c>
    </row>
    <row r="111" ht="15.0" customHeight="1">
      <c r="A111" s="12">
        <v>46181.0</v>
      </c>
      <c r="B111" s="13" t="s">
        <v>77</v>
      </c>
      <c r="C111" s="8" t="s">
        <v>196</v>
      </c>
      <c r="D111" s="8" t="s">
        <v>79</v>
      </c>
      <c r="E111" s="13" t="str">
        <f>IF(ISBLANK(D111), "", VLOOKUP(D111, Config!$F$6:$G$29, 2, FALSE()))</f>
        <v>Fijo</v>
      </c>
      <c r="F111" s="16">
        <v>33157.54</v>
      </c>
      <c r="G111" s="24" t="s">
        <v>118</v>
      </c>
    </row>
    <row r="112" ht="15.0" customHeight="1">
      <c r="A112" s="12">
        <v>46183.0</v>
      </c>
      <c r="B112" s="13" t="s">
        <v>77</v>
      </c>
      <c r="C112" s="8" t="s">
        <v>232</v>
      </c>
      <c r="D112" s="8" t="s">
        <v>85</v>
      </c>
      <c r="E112" s="13" t="str">
        <f>IF(ISBLANK(D112), "", VLOOKUP(D112, Config!$F$6:$G$29, 2, FALSE()))</f>
        <v>Fijo</v>
      </c>
      <c r="F112" s="16">
        <v>23080.0</v>
      </c>
      <c r="G112" s="24" t="s">
        <v>118</v>
      </c>
    </row>
    <row r="113" ht="15.0" customHeight="1">
      <c r="A113" s="12">
        <v>46183.0</v>
      </c>
      <c r="B113" s="13" t="s">
        <v>77</v>
      </c>
      <c r="C113" s="8" t="s">
        <v>264</v>
      </c>
      <c r="D113" s="8" t="s">
        <v>93</v>
      </c>
      <c r="E113" s="13" t="str">
        <f>IF(ISBLANK(D113), "", VLOOKUP(D113, Config!$F$6:$G$29, 2, FALSE()))</f>
        <v>Variable</v>
      </c>
      <c r="F113" s="16">
        <v>146518.68</v>
      </c>
      <c r="G113" s="24" t="s">
        <v>118</v>
      </c>
    </row>
    <row r="114" ht="15.0" customHeight="1">
      <c r="A114" s="12">
        <v>46183.0</v>
      </c>
      <c r="B114" s="13" t="s">
        <v>77</v>
      </c>
      <c r="C114" s="8" t="s">
        <v>264</v>
      </c>
      <c r="D114" s="8" t="s">
        <v>93</v>
      </c>
      <c r="E114" s="13" t="str">
        <f>IF(ISBLANK(D114), "", VLOOKUP(D114, Config!$F$6:$G$29, 2, FALSE()))</f>
        <v>Variable</v>
      </c>
      <c r="F114" s="16">
        <v>171578.3</v>
      </c>
      <c r="G114" s="24" t="s">
        <v>118</v>
      </c>
    </row>
    <row r="115" ht="15.0" customHeight="1">
      <c r="A115" s="12">
        <v>46185.0</v>
      </c>
      <c r="B115" s="13" t="s">
        <v>77</v>
      </c>
      <c r="C115" s="8" t="s">
        <v>157</v>
      </c>
      <c r="D115" s="8" t="s">
        <v>78</v>
      </c>
      <c r="E115" s="13" t="str">
        <f>IF(ISBLANK(D115), "", VLOOKUP(D115, Config!$F$6:$G$29, 2, FALSE()))</f>
        <v>Fijo</v>
      </c>
      <c r="F115" s="16">
        <v>25155.4</v>
      </c>
      <c r="G115" s="24" t="s">
        <v>118</v>
      </c>
    </row>
    <row r="116" ht="15.0" customHeight="1">
      <c r="A116" s="12">
        <v>46185.0</v>
      </c>
      <c r="B116" s="13" t="s">
        <v>77</v>
      </c>
      <c r="C116" s="8" t="s">
        <v>259</v>
      </c>
      <c r="D116" s="8" t="s">
        <v>102</v>
      </c>
      <c r="E116" s="13" t="str">
        <f>IF(ISBLANK(D116), "", VLOOKUP(D116, Config!$F$6:$G$29, 2, FALSE()))</f>
        <v>Variable</v>
      </c>
      <c r="F116" s="16">
        <v>19165.0</v>
      </c>
      <c r="G116" s="24" t="s">
        <v>118</v>
      </c>
    </row>
    <row r="117" ht="15.0" customHeight="1">
      <c r="A117" s="12">
        <v>46186.0</v>
      </c>
      <c r="B117" s="13" t="s">
        <v>77</v>
      </c>
      <c r="C117" s="8" t="s">
        <v>265</v>
      </c>
      <c r="D117" s="8" t="s">
        <v>104</v>
      </c>
      <c r="E117" s="13" t="str">
        <f>IF(ISBLANK(D117), "", VLOOKUP(D117, Config!$F$6:$G$29, 2, FALSE()))</f>
        <v>Variable</v>
      </c>
      <c r="F117" s="16">
        <v>17000.0</v>
      </c>
      <c r="G117" s="24" t="s">
        <v>118</v>
      </c>
    </row>
    <row r="118" ht="15.0" customHeight="1">
      <c r="A118" s="12">
        <v>46189.0</v>
      </c>
      <c r="B118" s="13" t="s">
        <v>77</v>
      </c>
      <c r="C118" s="8" t="s">
        <v>266</v>
      </c>
      <c r="D118" s="8" t="s">
        <v>105</v>
      </c>
      <c r="E118" s="13" t="str">
        <f>IF(ISBLANK(D118), "", VLOOKUP(D118, Config!$F$6:$G$29, 2, FALSE()))</f>
        <v>Variable</v>
      </c>
      <c r="F118" s="16">
        <v>227999.05</v>
      </c>
      <c r="G118" s="24" t="s">
        <v>118</v>
      </c>
    </row>
    <row r="119" ht="15.0" customHeight="1">
      <c r="A119" s="12">
        <v>46191.0</v>
      </c>
      <c r="B119" s="13" t="s">
        <v>77</v>
      </c>
      <c r="C119" s="8" t="s">
        <v>267</v>
      </c>
      <c r="D119" s="8" t="s">
        <v>93</v>
      </c>
      <c r="E119" s="13" t="str">
        <f>IF(ISBLANK(D119), "", VLOOKUP(D119, Config!$F$6:$G$29, 2, FALSE()))</f>
        <v>Variable</v>
      </c>
      <c r="F119" s="16">
        <v>46886.1</v>
      </c>
      <c r="G119" s="24" t="s">
        <v>118</v>
      </c>
    </row>
    <row r="120" ht="15.0" customHeight="1">
      <c r="A120" s="12">
        <v>46192.0</v>
      </c>
      <c r="B120" s="13" t="s">
        <v>77</v>
      </c>
      <c r="C120" s="8" t="s">
        <v>268</v>
      </c>
      <c r="D120" s="8" t="s">
        <v>93</v>
      </c>
      <c r="E120" s="13" t="str">
        <f>IF(ISBLANK(D120), "", VLOOKUP(D120, Config!$F$6:$G$29, 2, FALSE()))</f>
        <v>Variable</v>
      </c>
      <c r="F120" s="16">
        <v>101250.01</v>
      </c>
      <c r="G120" s="24" t="s">
        <v>118</v>
      </c>
    </row>
    <row r="121" ht="15.0" customHeight="1">
      <c r="A121" s="12">
        <v>46192.0</v>
      </c>
      <c r="B121" s="13" t="s">
        <v>77</v>
      </c>
      <c r="C121" s="8" t="s">
        <v>269</v>
      </c>
      <c r="D121" s="8" t="s">
        <v>93</v>
      </c>
      <c r="E121" s="13" t="str">
        <f>IF(ISBLANK(D121), "", VLOOKUP(D121, Config!$F$6:$G$29, 2, FALSE()))</f>
        <v>Variable</v>
      </c>
      <c r="F121" s="16">
        <v>19379.99</v>
      </c>
      <c r="G121" s="24" t="s">
        <v>118</v>
      </c>
    </row>
    <row r="122" ht="15.0" customHeight="1">
      <c r="A122" s="12">
        <v>46198.0</v>
      </c>
      <c r="B122" s="13" t="s">
        <v>77</v>
      </c>
      <c r="C122" s="8" t="s">
        <v>270</v>
      </c>
      <c r="D122" s="8" t="s">
        <v>101</v>
      </c>
      <c r="E122" s="13" t="str">
        <f>IF(ISBLANK(D122), "", VLOOKUP(D122, Config!$F$6:$G$29, 2, FALSE()))</f>
        <v>Fijo</v>
      </c>
      <c r="F122" s="16">
        <v>35848.33</v>
      </c>
      <c r="G122" s="24" t="s">
        <v>118</v>
      </c>
    </row>
    <row r="123" ht="15.0" customHeight="1">
      <c r="A123" s="12">
        <v>46198.0</v>
      </c>
      <c r="B123" s="13" t="s">
        <v>77</v>
      </c>
      <c r="C123" s="8" t="s">
        <v>271</v>
      </c>
      <c r="D123" s="8" t="s">
        <v>107</v>
      </c>
      <c r="E123" s="13" t="str">
        <f>IF(ISBLANK(D123), "", VLOOKUP(D123, Config!$F$6:$G$29, 2, FALSE()))</f>
        <v>Variable</v>
      </c>
      <c r="F123" s="16">
        <v>40333.0</v>
      </c>
      <c r="G123" s="24" t="s">
        <v>118</v>
      </c>
    </row>
    <row r="124" ht="15.0" customHeight="1">
      <c r="A124" s="25">
        <v>46209.0</v>
      </c>
      <c r="B124" s="14" t="s">
        <v>80</v>
      </c>
      <c r="C124" s="26" t="s">
        <v>110</v>
      </c>
      <c r="D124" s="26" t="s">
        <v>111</v>
      </c>
      <c r="E124" s="13" t="str">
        <f>IF(ISBLANK(D124), "", VLOOKUP(D124, Config!$F$6:$G$30, 2, FALSE()))</f>
        <v/>
      </c>
      <c r="F124" s="27">
        <v>1890000.0</v>
      </c>
      <c r="G124" s="29" t="s">
        <v>123</v>
      </c>
    </row>
    <row r="125" ht="15.0" customHeight="1">
      <c r="A125" s="25">
        <v>46209.0</v>
      </c>
      <c r="B125" s="14" t="s">
        <v>80</v>
      </c>
      <c r="C125" s="26" t="s">
        <v>114</v>
      </c>
      <c r="D125" s="26" t="s">
        <v>111</v>
      </c>
      <c r="E125" s="13" t="str">
        <f>IF(ISBLANK(D125), "", VLOOKUP(D125, Config!$F$6:$G$30, 2, FALSE()))</f>
        <v/>
      </c>
      <c r="F125" s="27">
        <v>181000.0</v>
      </c>
      <c r="G125" s="29" t="s">
        <v>123</v>
      </c>
    </row>
    <row r="126" ht="15.0" customHeight="1">
      <c r="A126" s="25">
        <v>46209.0</v>
      </c>
      <c r="B126" s="14" t="s">
        <v>80</v>
      </c>
      <c r="C126" s="26" t="s">
        <v>117</v>
      </c>
      <c r="D126" s="26" t="s">
        <v>111</v>
      </c>
      <c r="E126" s="13" t="str">
        <f>IF(ISBLANK(D126), "", VLOOKUP(D126, Config!$F$6:$G$30, 2, FALSE()))</f>
        <v/>
      </c>
      <c r="F126" s="27">
        <v>196000.0</v>
      </c>
      <c r="G126" s="29" t="s">
        <v>123</v>
      </c>
    </row>
    <row r="127" ht="15.0" customHeight="1">
      <c r="A127" s="25">
        <v>46216.0</v>
      </c>
      <c r="B127" s="14" t="s">
        <v>80</v>
      </c>
      <c r="C127" s="26" t="s">
        <v>120</v>
      </c>
      <c r="D127" s="26" t="s">
        <v>111</v>
      </c>
      <c r="E127" s="13" t="str">
        <f>IF(ISBLANK(D127), "", VLOOKUP(D127, Config!$F$6:$G$30, 2, FALSE()))</f>
        <v/>
      </c>
      <c r="F127" s="27">
        <v>167619.0</v>
      </c>
      <c r="G127" s="29" t="s">
        <v>123</v>
      </c>
    </row>
    <row r="128" ht="15.0" customHeight="1">
      <c r="A128" s="25">
        <v>46219.0</v>
      </c>
      <c r="B128" s="14" t="s">
        <v>80</v>
      </c>
      <c r="C128" s="26" t="s">
        <v>122</v>
      </c>
      <c r="D128" s="26" t="s">
        <v>93</v>
      </c>
      <c r="E128" s="13" t="str">
        <f>IF(ISBLANK(D128), "", VLOOKUP(D128, Config!$F$6:$G$30, 2, FALSE()))</f>
        <v>Variable</v>
      </c>
      <c r="F128" s="27">
        <v>3000.0</v>
      </c>
      <c r="G128" s="29" t="s">
        <v>123</v>
      </c>
    </row>
    <row r="129" ht="15.0" customHeight="1">
      <c r="A129" s="25">
        <v>46218.0</v>
      </c>
      <c r="B129" s="14" t="s">
        <v>80</v>
      </c>
      <c r="C129" s="26" t="s">
        <v>125</v>
      </c>
      <c r="D129" s="26" t="s">
        <v>88</v>
      </c>
      <c r="E129" s="13" t="str">
        <f>IF(ISBLANK(D129), "", VLOOKUP(D129, Config!$F$6:$G$30, 2, FALSE()))</f>
        <v>Fijo</v>
      </c>
      <c r="F129" s="27">
        <v>55000.0</v>
      </c>
      <c r="G129" s="29" t="s">
        <v>118</v>
      </c>
    </row>
    <row r="130" ht="15.0" customHeight="1">
      <c r="A130" s="25">
        <v>46219.0</v>
      </c>
      <c r="B130" s="14" t="s">
        <v>80</v>
      </c>
      <c r="C130" s="26" t="s">
        <v>127</v>
      </c>
      <c r="D130" s="26" t="s">
        <v>90</v>
      </c>
      <c r="E130" s="13" t="str">
        <f>IF(ISBLANK(D130), "", VLOOKUP(D130, Config!$F$6:$G$30, 2, FALSE()))</f>
        <v>Fijo</v>
      </c>
      <c r="F130" s="27">
        <v>135000.0</v>
      </c>
      <c r="G130" s="29" t="s">
        <v>118</v>
      </c>
    </row>
    <row r="131" ht="15.0" customHeight="1">
      <c r="A131" s="25">
        <v>46219.0</v>
      </c>
      <c r="B131" s="14" t="s">
        <v>80</v>
      </c>
      <c r="C131" s="26" t="s">
        <v>128</v>
      </c>
      <c r="D131" s="26" t="s">
        <v>105</v>
      </c>
      <c r="E131" s="13" t="str">
        <f>IF(ISBLANK(D131), "", VLOOKUP(D131, Config!$F$6:$G$30, 2, FALSE()))</f>
        <v>Variable</v>
      </c>
      <c r="F131" s="27">
        <v>167500.0</v>
      </c>
      <c r="G131" s="29" t="s">
        <v>118</v>
      </c>
    </row>
    <row r="132" ht="15.0" customHeight="1">
      <c r="A132" s="25">
        <v>46219.0</v>
      </c>
      <c r="B132" s="14" t="s">
        <v>80</v>
      </c>
      <c r="C132" s="26" t="s">
        <v>130</v>
      </c>
      <c r="D132" s="26" t="s">
        <v>105</v>
      </c>
      <c r="E132" s="13" t="str">
        <f>IF(ISBLANK(D132), "", VLOOKUP(D132, Config!$F$6:$G$30, 2, FALSE()))</f>
        <v>Variable</v>
      </c>
      <c r="F132" s="27">
        <v>30500.0</v>
      </c>
      <c r="G132" s="29" t="s">
        <v>118</v>
      </c>
    </row>
    <row r="133" ht="15.0" customHeight="1">
      <c r="A133" s="25">
        <v>46219.0</v>
      </c>
      <c r="B133" s="14" t="s">
        <v>80</v>
      </c>
      <c r="C133" s="26" t="s">
        <v>132</v>
      </c>
      <c r="D133" s="26" t="s">
        <v>102</v>
      </c>
      <c r="E133" s="13" t="str">
        <f>IF(ISBLANK(D133), "", VLOOKUP(D133, Config!$F$6:$G$30, 2, FALSE()))</f>
        <v>Variable</v>
      </c>
      <c r="F133" s="27">
        <v>43000.0</v>
      </c>
      <c r="G133" s="29" t="s">
        <v>118</v>
      </c>
    </row>
    <row r="134" ht="15.0" customHeight="1">
      <c r="A134" s="25">
        <v>46218.0</v>
      </c>
      <c r="B134" s="14" t="s">
        <v>80</v>
      </c>
      <c r="C134" s="26" t="s">
        <v>135</v>
      </c>
      <c r="D134" s="26" t="s">
        <v>104</v>
      </c>
      <c r="E134" s="13" t="str">
        <f>IF(ISBLANK(D134), "", VLOOKUP(D134, Config!$F$6:$G$30, 2, FALSE()))</f>
        <v>Variable</v>
      </c>
      <c r="F134" s="27">
        <v>12000.0</v>
      </c>
      <c r="G134" s="29" t="s">
        <v>123</v>
      </c>
    </row>
    <row r="135" ht="15.0" customHeight="1">
      <c r="A135" s="25">
        <v>46218.0</v>
      </c>
      <c r="B135" s="14" t="s">
        <v>80</v>
      </c>
      <c r="C135" s="26" t="s">
        <v>137</v>
      </c>
      <c r="D135" s="26" t="s">
        <v>93</v>
      </c>
      <c r="E135" s="13" t="str">
        <f>IF(ISBLANK(D135), "", VLOOKUP(D135, Config!$F$6:$G$30, 2, FALSE()))</f>
        <v>Variable</v>
      </c>
      <c r="F135" s="27">
        <v>37000.0</v>
      </c>
      <c r="G135" s="29" t="s">
        <v>123</v>
      </c>
    </row>
    <row r="136" ht="15.0" customHeight="1">
      <c r="A136" s="25">
        <v>46218.0</v>
      </c>
      <c r="B136" s="14" t="s">
        <v>80</v>
      </c>
      <c r="C136" s="26" t="s">
        <v>139</v>
      </c>
      <c r="D136" s="26" t="s">
        <v>93</v>
      </c>
      <c r="E136" s="13" t="str">
        <f>IF(ISBLANK(D136), "", VLOOKUP(D136, Config!$F$6:$G$30, 2, FALSE()))</f>
        <v>Variable</v>
      </c>
      <c r="F136" s="27">
        <v>10000.0</v>
      </c>
      <c r="G136" s="29" t="s">
        <v>123</v>
      </c>
    </row>
    <row r="137" ht="15.0" customHeight="1">
      <c r="A137" s="25">
        <v>46215.0</v>
      </c>
      <c r="B137" s="14" t="s">
        <v>80</v>
      </c>
      <c r="C137" s="26" t="s">
        <v>141</v>
      </c>
      <c r="D137" s="26" t="s">
        <v>104</v>
      </c>
      <c r="E137" s="13" t="str">
        <f>IF(ISBLANK(D137), "", VLOOKUP(D137, Config!$F$6:$G$30, 2, FALSE()))</f>
        <v>Variable</v>
      </c>
      <c r="F137" s="27">
        <v>44000.0</v>
      </c>
      <c r="G137" s="29" t="s">
        <v>123</v>
      </c>
    </row>
    <row r="138" ht="15.0" customHeight="1">
      <c r="A138" s="25">
        <v>46212.0</v>
      </c>
      <c r="B138" s="14" t="s">
        <v>80</v>
      </c>
      <c r="C138" s="26" t="s">
        <v>143</v>
      </c>
      <c r="D138" s="26" t="s">
        <v>104</v>
      </c>
      <c r="E138" s="13" t="str">
        <f>IF(ISBLANK(D138), "", VLOOKUP(D138, Config!$F$6:$G$30, 2, FALSE()))</f>
        <v>Variable</v>
      </c>
      <c r="F138" s="27">
        <v>31000.0</v>
      </c>
      <c r="G138" s="29" t="s">
        <v>123</v>
      </c>
    </row>
    <row r="139" ht="15.0" customHeight="1">
      <c r="A139" s="25">
        <v>46213.0</v>
      </c>
      <c r="B139" s="14" t="s">
        <v>80</v>
      </c>
      <c r="C139" s="26" t="s">
        <v>146</v>
      </c>
      <c r="D139" s="26" t="s">
        <v>104</v>
      </c>
      <c r="E139" s="13" t="str">
        <f>IF(ISBLANK(D139), "", VLOOKUP(D139, Config!$F$6:$G$30, 2, FALSE()))</f>
        <v>Variable</v>
      </c>
      <c r="F139" s="27">
        <v>17000.0</v>
      </c>
      <c r="G139" s="29" t="s">
        <v>123</v>
      </c>
    </row>
    <row r="140" ht="15.0" customHeight="1">
      <c r="A140" s="25">
        <v>46204.0</v>
      </c>
      <c r="B140" s="14" t="s">
        <v>80</v>
      </c>
      <c r="C140" s="26" t="s">
        <v>148</v>
      </c>
      <c r="D140" s="26" t="s">
        <v>93</v>
      </c>
      <c r="E140" s="13" t="str">
        <f>IF(ISBLANK(D140), "", VLOOKUP(D140, Config!$F$6:$G$30, 2, FALSE()))</f>
        <v>Variable</v>
      </c>
      <c r="F140" s="27">
        <v>135750.0</v>
      </c>
      <c r="G140" s="29" t="s">
        <v>123</v>
      </c>
    </row>
    <row r="141" ht="15.0" customHeight="1">
      <c r="A141" s="25">
        <v>46204.0</v>
      </c>
      <c r="B141" s="14" t="s">
        <v>80</v>
      </c>
      <c r="C141" s="8"/>
      <c r="D141" s="26" t="s">
        <v>61</v>
      </c>
      <c r="E141" s="13" t="str">
        <f>IF(ISBLANK(D141), "", VLOOKUP(D141, Config!$F$6:$G$30, 2, FALSE()))</f>
        <v>Fijo</v>
      </c>
      <c r="F141" s="27">
        <v>33000.0</v>
      </c>
      <c r="G141" s="29" t="s">
        <v>123</v>
      </c>
    </row>
    <row r="142" ht="15.0" customHeight="1">
      <c r="A142" s="25">
        <v>46219.0</v>
      </c>
      <c r="B142" s="14" t="s">
        <v>80</v>
      </c>
      <c r="C142" s="8"/>
      <c r="D142" s="26" t="s">
        <v>85</v>
      </c>
      <c r="E142" s="13" t="str">
        <f>IF(ISBLANK(D142), "", VLOOKUP(D142, Config!$F$6:$G$30, 2, FALSE()))</f>
        <v>Fijo</v>
      </c>
      <c r="F142" s="27">
        <v>23600.0</v>
      </c>
      <c r="G142" s="29" t="s">
        <v>118</v>
      </c>
    </row>
    <row r="143" ht="15.0" customHeight="1">
      <c r="A143" s="25">
        <v>46221.0</v>
      </c>
      <c r="B143" s="14" t="s">
        <v>80</v>
      </c>
      <c r="C143" s="26" t="s">
        <v>154</v>
      </c>
      <c r="D143" s="26" t="s">
        <v>102</v>
      </c>
      <c r="E143" s="13" t="str">
        <f>IF(ISBLANK(D143), "", VLOOKUP(D143, Config!$F$6:$G$30, 2, FALSE()))</f>
        <v>Variable</v>
      </c>
      <c r="F143" s="27">
        <v>19250.0</v>
      </c>
      <c r="G143" s="29" t="s">
        <v>123</v>
      </c>
    </row>
    <row r="144" ht="15.0" customHeight="1">
      <c r="A144" s="25">
        <v>45856.0</v>
      </c>
      <c r="B144" s="14" t="s">
        <v>80</v>
      </c>
      <c r="C144" s="26" t="s">
        <v>156</v>
      </c>
      <c r="D144" s="26" t="s">
        <v>93</v>
      </c>
      <c r="E144" s="13" t="str">
        <f>IF(ISBLANK(D144), "", VLOOKUP(D144, Config!$F$6:$G$30, 2, FALSE()))</f>
        <v>Variable</v>
      </c>
      <c r="F144" s="27">
        <v>86300.0</v>
      </c>
      <c r="G144" s="29" t="s">
        <v>123</v>
      </c>
    </row>
    <row r="145" ht="15.0" customHeight="1">
      <c r="A145" s="25">
        <v>46192.0</v>
      </c>
      <c r="B145" s="14" t="s">
        <v>80</v>
      </c>
      <c r="C145" s="26" t="s">
        <v>158</v>
      </c>
      <c r="D145" s="26" t="s">
        <v>104</v>
      </c>
      <c r="E145" s="13" t="str">
        <f>IF(ISBLANK(D145), "", VLOOKUP(D145, Config!$F$6:$G$30, 2, FALSE()))</f>
        <v>Variable</v>
      </c>
      <c r="F145" s="27">
        <v>13468.0</v>
      </c>
      <c r="G145" s="29" t="s">
        <v>123</v>
      </c>
    </row>
    <row r="146" ht="15.0" customHeight="1">
      <c r="A146" s="25">
        <v>46223.0</v>
      </c>
      <c r="B146" s="14" t="s">
        <v>80</v>
      </c>
      <c r="C146" s="26" t="s">
        <v>160</v>
      </c>
      <c r="D146" s="26" t="s">
        <v>93</v>
      </c>
      <c r="E146" s="13" t="str">
        <f>IF(ISBLANK(D146), "", VLOOKUP(D146, Config!$F$6:$G$30, 2, FALSE()))</f>
        <v>Variable</v>
      </c>
      <c r="F146" s="27">
        <v>3800.0</v>
      </c>
      <c r="G146" s="29" t="s">
        <v>123</v>
      </c>
    </row>
    <row r="147" ht="15.0" customHeight="1">
      <c r="A147" s="25">
        <v>46224.0</v>
      </c>
      <c r="B147" s="14" t="s">
        <v>80</v>
      </c>
      <c r="C147" s="26" t="s">
        <v>161</v>
      </c>
      <c r="D147" s="26" t="s">
        <v>105</v>
      </c>
      <c r="E147" s="13" t="str">
        <f>IF(ISBLANK(D147), "", VLOOKUP(D147, Config!$F$6:$G$30, 2, FALSE()))</f>
        <v>Variable</v>
      </c>
      <c r="F147" s="27">
        <v>1936500.0</v>
      </c>
      <c r="G147" s="29" t="s">
        <v>118</v>
      </c>
    </row>
    <row r="148" ht="15.0" customHeight="1">
      <c r="A148" s="25">
        <v>46221.0</v>
      </c>
      <c r="B148" s="14" t="s">
        <v>80</v>
      </c>
      <c r="C148" s="26" t="s">
        <v>162</v>
      </c>
      <c r="D148" s="26" t="s">
        <v>100</v>
      </c>
      <c r="E148" s="13" t="str">
        <f>IF(ISBLANK(D148), "", VLOOKUP(D148, Config!$F$6:$G$30, 2, FALSE()))</f>
        <v>Fijo</v>
      </c>
      <c r="F148" s="27">
        <v>38340.0</v>
      </c>
      <c r="G148" s="29" t="s">
        <v>118</v>
      </c>
    </row>
    <row r="149" ht="15.0" customHeight="1">
      <c r="A149" s="25">
        <v>46221.0</v>
      </c>
      <c r="B149" s="14" t="s">
        <v>80</v>
      </c>
      <c r="C149" s="26" t="s">
        <v>163</v>
      </c>
      <c r="D149" s="26" t="s">
        <v>104</v>
      </c>
      <c r="E149" s="13" t="str">
        <f>IF(ISBLANK(D149), "", VLOOKUP(D149, Config!$F$6:$G$30, 2, FALSE()))</f>
        <v>Variable</v>
      </c>
      <c r="F149" s="27">
        <v>28000.0</v>
      </c>
      <c r="G149" s="29" t="s">
        <v>118</v>
      </c>
    </row>
    <row r="150" ht="15.0" customHeight="1">
      <c r="A150" s="25">
        <v>46220.0</v>
      </c>
      <c r="B150" s="14" t="s">
        <v>80</v>
      </c>
      <c r="C150" s="26" t="s">
        <v>165</v>
      </c>
      <c r="D150" s="26" t="s">
        <v>83</v>
      </c>
      <c r="E150" s="13" t="str">
        <f>IF(ISBLANK(D150), "", VLOOKUP(D150, Config!$F$6:$G$30, 2, FALSE()))</f>
        <v>Fijo</v>
      </c>
      <c r="F150" s="27">
        <v>37500.0</v>
      </c>
      <c r="G150" s="29" t="s">
        <v>118</v>
      </c>
    </row>
    <row r="151" ht="15.0" customHeight="1">
      <c r="A151" s="25">
        <v>46219.0</v>
      </c>
      <c r="B151" s="14" t="s">
        <v>80</v>
      </c>
      <c r="C151" s="26" t="s">
        <v>169</v>
      </c>
      <c r="D151" s="26" t="s">
        <v>93</v>
      </c>
      <c r="E151" s="13" t="str">
        <f>IF(ISBLANK(D151), "", VLOOKUP(D151, Config!$F$6:$G$30, 2, FALSE()))</f>
        <v>Variable</v>
      </c>
      <c r="F151" s="27">
        <v>33000.0</v>
      </c>
      <c r="G151" s="29" t="s">
        <v>118</v>
      </c>
    </row>
    <row r="152" ht="15.0" customHeight="1">
      <c r="A152" s="25">
        <v>46224.0</v>
      </c>
      <c r="B152" s="14" t="s">
        <v>80</v>
      </c>
      <c r="C152" s="26" t="s">
        <v>175</v>
      </c>
      <c r="D152" s="26" t="s">
        <v>47</v>
      </c>
      <c r="E152" s="13" t="str">
        <f>IF(ISBLANK(D152), "", VLOOKUP(D152, Config!$F$6:$G$30, 2, FALSE()))</f>
        <v>Fijo</v>
      </c>
      <c r="F152" s="27">
        <v>171607.0</v>
      </c>
      <c r="G152" s="29" t="s">
        <v>118</v>
      </c>
    </row>
    <row r="153" ht="15.0" customHeight="1">
      <c r="A153" s="25">
        <v>46224.0</v>
      </c>
      <c r="B153" s="14" t="s">
        <v>80</v>
      </c>
      <c r="C153" s="26" t="s">
        <v>181</v>
      </c>
      <c r="D153" s="26" t="s">
        <v>105</v>
      </c>
      <c r="E153" s="13" t="str">
        <f>IF(ISBLANK(D153), "", VLOOKUP(D153, Config!$F$6:$G$30, 2, FALSE()))</f>
        <v>Variable</v>
      </c>
      <c r="F153" s="27">
        <v>1928880.0</v>
      </c>
      <c r="G153" s="29" t="s">
        <v>118</v>
      </c>
    </row>
    <row r="154" ht="15.0" customHeight="1">
      <c r="A154" s="25">
        <v>46217.0</v>
      </c>
      <c r="B154" s="14" t="s">
        <v>80</v>
      </c>
      <c r="C154" s="26" t="s">
        <v>183</v>
      </c>
      <c r="D154" s="26" t="s">
        <v>105</v>
      </c>
      <c r="E154" s="13" t="str">
        <f>IF(ISBLANK(D154), "", VLOOKUP(D154, Config!$F$6:$G$30, 2, FALSE()))</f>
        <v>Variable</v>
      </c>
      <c r="F154" s="27">
        <v>236780.0</v>
      </c>
      <c r="G154" s="29" t="s">
        <v>118</v>
      </c>
    </row>
    <row r="155" ht="15.0" customHeight="1">
      <c r="A155" s="25">
        <v>46217.0</v>
      </c>
      <c r="B155" s="14" t="s">
        <v>80</v>
      </c>
      <c r="C155" s="26" t="s">
        <v>185</v>
      </c>
      <c r="D155" s="26" t="s">
        <v>105</v>
      </c>
      <c r="E155" s="13" t="str">
        <f>IF(ISBLANK(D155), "", VLOOKUP(D155, Config!$F$6:$G$30, 2, FALSE()))</f>
        <v>Variable</v>
      </c>
      <c r="F155" s="27">
        <v>332000.0</v>
      </c>
      <c r="G155" s="29" t="s">
        <v>118</v>
      </c>
    </row>
    <row r="156" ht="15.0" customHeight="1">
      <c r="A156" s="25">
        <v>46221.0</v>
      </c>
      <c r="B156" s="14" t="s">
        <v>80</v>
      </c>
      <c r="C156" s="26" t="s">
        <v>186</v>
      </c>
      <c r="D156" s="26" t="s">
        <v>104</v>
      </c>
      <c r="E156" s="13" t="str">
        <f>IF(ISBLANK(D156), "", VLOOKUP(D156, Config!$F$6:$G$30, 2, FALSE()))</f>
        <v>Variable</v>
      </c>
      <c r="F156" s="27">
        <v>13500.0</v>
      </c>
      <c r="G156" s="29" t="s">
        <v>123</v>
      </c>
    </row>
    <row r="157" ht="15.0" customHeight="1">
      <c r="A157" s="25">
        <v>46226.0</v>
      </c>
      <c r="B157" s="14" t="s">
        <v>80</v>
      </c>
      <c r="C157" s="26" t="s">
        <v>188</v>
      </c>
      <c r="D157" s="26" t="s">
        <v>104</v>
      </c>
      <c r="E157" s="13" t="str">
        <f>IF(ISBLANK(D157), "", VLOOKUP(D157, Config!$F$6:$G$30, 2, FALSE()))</f>
        <v>Variable</v>
      </c>
      <c r="F157" s="27">
        <v>5000.0</v>
      </c>
      <c r="G157" s="29" t="s">
        <v>123</v>
      </c>
    </row>
    <row r="158" ht="15.0" customHeight="1">
      <c r="A158" s="25">
        <v>46228.0</v>
      </c>
      <c r="B158" s="14" t="s">
        <v>80</v>
      </c>
      <c r="C158" s="26" t="s">
        <v>191</v>
      </c>
      <c r="D158" s="26" t="s">
        <v>104</v>
      </c>
      <c r="E158" s="13" t="str">
        <f>IF(ISBLANK(D158), "", VLOOKUP(D158, Config!$F$6:$G$30, 2, FALSE()))</f>
        <v>Variable</v>
      </c>
      <c r="F158" s="27">
        <v>14300.0</v>
      </c>
      <c r="G158" s="29" t="s">
        <v>123</v>
      </c>
    </row>
    <row r="159" ht="15.0" customHeight="1">
      <c r="A159" s="25">
        <v>46228.0</v>
      </c>
      <c r="B159" s="14" t="s">
        <v>80</v>
      </c>
      <c r="C159" s="26" t="s">
        <v>193</v>
      </c>
      <c r="D159" s="26" t="s">
        <v>104</v>
      </c>
      <c r="E159" s="13" t="str">
        <f>IF(ISBLANK(D159), "", VLOOKUP(D159, Config!$F$6:$G$30, 2, FALSE()))</f>
        <v>Variable</v>
      </c>
      <c r="F159" s="27">
        <v>8050.0</v>
      </c>
      <c r="G159" s="29" t="s">
        <v>123</v>
      </c>
    </row>
    <row r="160" ht="15.0" customHeight="1">
      <c r="A160" s="25">
        <v>46234.0</v>
      </c>
      <c r="B160" s="14" t="s">
        <v>80</v>
      </c>
      <c r="C160" s="26" t="s">
        <v>195</v>
      </c>
      <c r="D160" s="26" t="s">
        <v>104</v>
      </c>
      <c r="E160" s="13" t="str">
        <f>IF(ISBLANK(D160), "", VLOOKUP(D160, Config!$F$6:$G$30, 2, FALSE()))</f>
        <v>Variable</v>
      </c>
      <c r="F160" s="27">
        <v>4600.0</v>
      </c>
      <c r="G160" s="29" t="s">
        <v>123</v>
      </c>
    </row>
    <row r="161" ht="15.0" customHeight="1">
      <c r="A161" s="25">
        <v>46239.0</v>
      </c>
      <c r="B161" s="14" t="s">
        <v>82</v>
      </c>
      <c r="C161" s="26" t="s">
        <v>197</v>
      </c>
      <c r="D161" s="26" t="s">
        <v>93</v>
      </c>
      <c r="E161" s="13" t="str">
        <f>IF(ISBLANK(D161), "", VLOOKUP(D161, Config!$F$6:$G$30, 2, FALSE()))</f>
        <v>Variable</v>
      </c>
      <c r="F161" s="27">
        <v>37000.0</v>
      </c>
      <c r="G161" s="29" t="s">
        <v>123</v>
      </c>
    </row>
    <row r="162" ht="15.0" customHeight="1">
      <c r="A162" s="25">
        <v>46241.0</v>
      </c>
      <c r="B162" s="14" t="s">
        <v>82</v>
      </c>
      <c r="C162" s="26" t="s">
        <v>200</v>
      </c>
      <c r="D162" s="26" t="s">
        <v>104</v>
      </c>
      <c r="E162" s="13" t="str">
        <f>IF(ISBLANK(D162), "", VLOOKUP(D162, Config!$F$6:$G$30, 2, FALSE()))</f>
        <v>Variable</v>
      </c>
      <c r="F162" s="27">
        <v>23000.0</v>
      </c>
      <c r="G162" s="29" t="s">
        <v>123</v>
      </c>
    </row>
    <row r="163" ht="15.0" customHeight="1">
      <c r="A163" s="25">
        <v>46241.0</v>
      </c>
      <c r="B163" s="14" t="s">
        <v>82</v>
      </c>
      <c r="C163" s="26" t="s">
        <v>204</v>
      </c>
      <c r="D163" s="26" t="s">
        <v>111</v>
      </c>
      <c r="E163" s="13" t="str">
        <f>IF(ISBLANK(D163), "", VLOOKUP(D163, Config!$F$6:$G$30, 2, FALSE()))</f>
        <v/>
      </c>
      <c r="F163" s="27">
        <v>552720.0</v>
      </c>
      <c r="G163" s="29" t="s">
        <v>123</v>
      </c>
    </row>
    <row r="164" ht="15.0" customHeight="1">
      <c r="A164" s="25">
        <v>46235.0</v>
      </c>
      <c r="B164" s="14" t="s">
        <v>82</v>
      </c>
      <c r="C164" s="26" t="s">
        <v>209</v>
      </c>
      <c r="D164" s="26" t="s">
        <v>93</v>
      </c>
      <c r="E164" s="13" t="str">
        <f>IF(ISBLANK(D164), "", VLOOKUP(D164, Config!$F$6:$G$30, 2, FALSE()))</f>
        <v>Variable</v>
      </c>
      <c r="F164" s="27">
        <v>46900.0</v>
      </c>
      <c r="G164" s="29" t="s">
        <v>118</v>
      </c>
    </row>
    <row r="165" ht="15.0" customHeight="1">
      <c r="A165" s="25">
        <v>46241.0</v>
      </c>
      <c r="B165" s="14" t="s">
        <v>82</v>
      </c>
      <c r="C165" s="26" t="s">
        <v>211</v>
      </c>
      <c r="D165" s="26" t="s">
        <v>104</v>
      </c>
      <c r="E165" s="13" t="str">
        <f>IF(ISBLANK(D165), "", VLOOKUP(D165, Config!$F$6:$G$30, 2, FALSE()))</f>
        <v>Variable</v>
      </c>
      <c r="F165" s="27">
        <v>32400.0</v>
      </c>
      <c r="G165" s="29" t="s">
        <v>118</v>
      </c>
    </row>
    <row r="166" ht="15.0" customHeight="1">
      <c r="A166" s="25">
        <v>46241.0</v>
      </c>
      <c r="B166" s="14" t="s">
        <v>82</v>
      </c>
      <c r="C166" s="26" t="s">
        <v>212</v>
      </c>
      <c r="D166" s="26" t="s">
        <v>104</v>
      </c>
      <c r="E166" s="13" t="str">
        <f>IF(ISBLANK(D166), "", VLOOKUP(D166, Config!$F$6:$G$30, 2, FALSE()))</f>
        <v>Variable</v>
      </c>
      <c r="F166" s="27">
        <v>5200.0</v>
      </c>
      <c r="G166" s="29" t="s">
        <v>118</v>
      </c>
    </row>
    <row r="167" ht="15.0" customHeight="1">
      <c r="A167" s="25">
        <v>46237.0</v>
      </c>
      <c r="B167" s="14" t="s">
        <v>82</v>
      </c>
      <c r="C167" s="26" t="s">
        <v>214</v>
      </c>
      <c r="D167" s="26" t="s">
        <v>111</v>
      </c>
      <c r="E167" s="13" t="str">
        <f>IF(ISBLANK(D167), "", VLOOKUP(D167, Config!$F$6:$G$30, 2, FALSE()))</f>
        <v/>
      </c>
      <c r="F167" s="27">
        <v>2440000.0</v>
      </c>
      <c r="G167" s="29" t="s">
        <v>123</v>
      </c>
    </row>
    <row r="168" ht="15.0" customHeight="1">
      <c r="A168" s="25">
        <v>46241.0</v>
      </c>
      <c r="B168" s="14" t="s">
        <v>82</v>
      </c>
      <c r="C168" s="26" t="s">
        <v>215</v>
      </c>
      <c r="D168" s="26" t="s">
        <v>88</v>
      </c>
      <c r="E168" s="13" t="str">
        <f>IF(ISBLANK(D168), "", VLOOKUP(D168, Config!$F$6:$G$30, 2, FALSE()))</f>
        <v>Fijo</v>
      </c>
      <c r="F168" s="27">
        <v>1400000.0</v>
      </c>
      <c r="G168" s="29" t="s">
        <v>118</v>
      </c>
    </row>
    <row r="169" ht="15.0" customHeight="1">
      <c r="A169" s="12"/>
      <c r="B169" s="13"/>
      <c r="C169" s="8"/>
      <c r="D169" s="8"/>
      <c r="E169" s="13" t="str">
        <f>IF(ISBLANK(D169), "", VLOOKUP(D169, Config!$F$6:$G$30, 2, FALSE()))</f>
        <v/>
      </c>
      <c r="F169" s="16"/>
      <c r="G169" s="30"/>
    </row>
    <row r="170" ht="15.0" customHeight="1">
      <c r="A170" s="12"/>
      <c r="B170" s="13"/>
      <c r="C170" s="8"/>
      <c r="D170" s="8"/>
      <c r="E170" s="13" t="str">
        <f>IF(ISBLANK(D170), "", VLOOKUP(D170, Config!$F$6:$G$30, 2, FALSE()))</f>
        <v/>
      </c>
      <c r="F170" s="16"/>
      <c r="G170" s="30"/>
    </row>
    <row r="171" ht="15.0" customHeight="1">
      <c r="A171" s="12"/>
      <c r="B171" s="13"/>
      <c r="C171" s="8"/>
      <c r="D171" s="8"/>
      <c r="E171" s="13" t="str">
        <f>IF(ISBLANK(D171), "", VLOOKUP(D171, Config!$F$6:$G$30, 2, FALSE()))</f>
        <v/>
      </c>
      <c r="F171" s="16"/>
      <c r="G171" s="30"/>
    </row>
    <row r="172" ht="15.0" customHeight="1">
      <c r="A172" s="12"/>
      <c r="B172" s="13"/>
      <c r="C172" s="8"/>
      <c r="D172" s="8"/>
      <c r="E172" s="13" t="str">
        <f>IF(ISBLANK(D172), "", VLOOKUP(D172, Config!$F$6:$G$30, 2, FALSE()))</f>
        <v/>
      </c>
      <c r="F172" s="16"/>
      <c r="G172" s="30"/>
    </row>
    <row r="173" ht="15.0" customHeight="1">
      <c r="A173" s="12"/>
      <c r="B173" s="13"/>
      <c r="C173" s="8"/>
      <c r="D173" s="8"/>
      <c r="E173" s="13" t="str">
        <f>IF(ISBLANK(D173), "", VLOOKUP(D173, Config!$F$6:$G$30, 2, FALSE()))</f>
        <v/>
      </c>
      <c r="F173" s="16"/>
      <c r="G173" s="30"/>
    </row>
    <row r="174" ht="15.0" customHeight="1">
      <c r="A174" s="12"/>
      <c r="B174" s="13"/>
      <c r="C174" s="8"/>
      <c r="D174" s="8"/>
      <c r="E174" s="13" t="str">
        <f>IF(ISBLANK(D174), "", VLOOKUP(D174, Config!$F$6:$G$30, 2, FALSE()))</f>
        <v/>
      </c>
      <c r="F174" s="16"/>
      <c r="G174" s="30"/>
    </row>
    <row r="175" ht="15.0" customHeight="1">
      <c r="A175" s="12"/>
      <c r="B175" s="13"/>
      <c r="C175" s="8"/>
      <c r="D175" s="8"/>
      <c r="E175" s="13" t="str">
        <f>IF(ISBLANK(D175), "", VLOOKUP(D175, Config!$F$6:$G$30, 2, FALSE()))</f>
        <v/>
      </c>
      <c r="F175" s="16"/>
      <c r="G175" s="30"/>
    </row>
    <row r="176" ht="15.0" customHeight="1">
      <c r="A176" s="12"/>
      <c r="B176" s="13"/>
      <c r="C176" s="8"/>
      <c r="D176" s="8"/>
      <c r="E176" s="13" t="str">
        <f>IF(ISBLANK(D176), "", VLOOKUP(D176, Config!$F$6:$G$30, 2, FALSE()))</f>
        <v/>
      </c>
      <c r="F176" s="16"/>
      <c r="G176" s="30"/>
    </row>
    <row r="177" ht="15.0" customHeight="1">
      <c r="A177" s="12"/>
      <c r="B177" s="13"/>
      <c r="C177" s="8"/>
      <c r="D177" s="8"/>
      <c r="E177" s="13" t="str">
        <f>IF(ISBLANK(D177), "", VLOOKUP(D177, Config!$F$6:$G$30, 2, FALSE()))</f>
        <v/>
      </c>
      <c r="F177" s="16"/>
      <c r="G177" s="30"/>
    </row>
    <row r="178" ht="15.0" customHeight="1">
      <c r="A178" s="12"/>
      <c r="B178" s="13"/>
      <c r="C178" s="8"/>
      <c r="D178" s="8"/>
      <c r="E178" s="13" t="str">
        <f>IF(ISBLANK(D178), "", VLOOKUP(D178, Config!$F$6:$G$30, 2, FALSE()))</f>
        <v/>
      </c>
      <c r="F178" s="16"/>
      <c r="G178" s="30"/>
    </row>
    <row r="179" ht="15.0" customHeight="1">
      <c r="A179" s="12"/>
      <c r="B179" s="13"/>
      <c r="C179" s="8"/>
      <c r="D179" s="8"/>
      <c r="E179" s="13" t="str">
        <f>IF(ISBLANK(D179), "", VLOOKUP(D179, Config!$F$6:$G$30, 2, FALSE()))</f>
        <v/>
      </c>
      <c r="F179" s="16"/>
      <c r="G179" s="30"/>
    </row>
    <row r="180" ht="15.0" customHeight="1">
      <c r="A180" s="12"/>
      <c r="B180" s="13"/>
      <c r="C180" s="8"/>
      <c r="D180" s="8"/>
      <c r="E180" s="13" t="str">
        <f>IF(ISBLANK(D180), "", VLOOKUP(D180, Config!$F$6:$G$30, 2, FALSE()))</f>
        <v/>
      </c>
      <c r="F180" s="16"/>
      <c r="G180" s="30"/>
    </row>
    <row r="181" ht="15.0" customHeight="1">
      <c r="A181" s="12"/>
      <c r="B181" s="13"/>
      <c r="C181" s="8"/>
      <c r="D181" s="8"/>
      <c r="E181" s="13" t="str">
        <f>IF(ISBLANK(D181), "", VLOOKUP(D181, Config!$F$6:$G$30, 2, FALSE()))</f>
        <v/>
      </c>
      <c r="F181" s="16"/>
      <c r="G181" s="30"/>
    </row>
    <row r="182" ht="15.0" customHeight="1">
      <c r="A182" s="12"/>
      <c r="B182" s="13"/>
      <c r="C182" s="8"/>
      <c r="D182" s="8"/>
      <c r="E182" s="13" t="str">
        <f>IF(ISBLANK(D182), "", VLOOKUP(D182, Config!$F$6:$G$30, 2, FALSE()))</f>
        <v/>
      </c>
      <c r="F182" s="16"/>
      <c r="G182" s="30"/>
    </row>
    <row r="183" ht="15.0" customHeight="1">
      <c r="A183" s="12"/>
      <c r="B183" s="13"/>
      <c r="C183" s="8"/>
      <c r="D183" s="8"/>
      <c r="E183" s="13" t="str">
        <f>IF(ISBLANK(D183), "", VLOOKUP(D183, Config!$F$6:$G$30, 2, FALSE()))</f>
        <v/>
      </c>
      <c r="F183" s="16"/>
      <c r="G183" s="30"/>
    </row>
    <row r="184" ht="15.0" customHeight="1">
      <c r="A184" s="12"/>
      <c r="B184" s="13"/>
      <c r="C184" s="8"/>
      <c r="D184" s="8"/>
      <c r="E184" s="13" t="str">
        <f>IF(ISBLANK(D184), "", VLOOKUP(D184, Config!$F$6:$G$30, 2, FALSE()))</f>
        <v/>
      </c>
      <c r="F184" s="16"/>
      <c r="G184" s="30"/>
    </row>
    <row r="185" ht="15.0" customHeight="1">
      <c r="A185" s="12"/>
      <c r="B185" s="13"/>
      <c r="C185" s="8"/>
      <c r="D185" s="8"/>
      <c r="E185" s="13" t="str">
        <f>IF(ISBLANK(D185), "", VLOOKUP(D185, Config!$F$6:$G$30, 2, FALSE()))</f>
        <v/>
      </c>
      <c r="F185" s="16"/>
      <c r="G185" s="30"/>
    </row>
    <row r="186" ht="15.0" customHeight="1">
      <c r="A186" s="12"/>
      <c r="B186" s="13"/>
      <c r="C186" s="8"/>
      <c r="D186" s="8"/>
      <c r="E186" s="13" t="str">
        <f>IF(ISBLANK(D186), "", VLOOKUP(D186, Config!$F$6:$G$30, 2, FALSE()))</f>
        <v/>
      </c>
      <c r="F186" s="16"/>
      <c r="G186" s="30"/>
    </row>
    <row r="187" ht="15.0" customHeight="1">
      <c r="A187" s="12"/>
      <c r="B187" s="13"/>
      <c r="C187" s="8"/>
      <c r="D187" s="8"/>
      <c r="E187" s="13" t="str">
        <f>IF(ISBLANK(D187), "", VLOOKUP(D187, Config!$F$6:$G$30, 2, FALSE()))</f>
        <v/>
      </c>
      <c r="F187" s="16"/>
      <c r="G187" s="30"/>
    </row>
    <row r="188" ht="15.0" customHeight="1">
      <c r="A188" s="12"/>
      <c r="B188" s="13"/>
      <c r="C188" s="8"/>
      <c r="D188" s="8"/>
      <c r="E188" s="13" t="str">
        <f>IF(ISBLANK(D188), "", VLOOKUP(D188, Config!$F$6:$G$30, 2, FALSE()))</f>
        <v/>
      </c>
      <c r="F188" s="16"/>
      <c r="G188" s="30"/>
    </row>
    <row r="189" ht="15.0" customHeight="1">
      <c r="A189" s="12"/>
      <c r="B189" s="13"/>
      <c r="C189" s="8"/>
      <c r="D189" s="8"/>
      <c r="E189" s="13" t="str">
        <f>IF(ISBLANK(D189), "", VLOOKUP(D189, Config!$F$6:$G$30, 2, FALSE()))</f>
        <v/>
      </c>
      <c r="F189" s="16"/>
      <c r="G189" s="30"/>
    </row>
    <row r="190" ht="15.0" customHeight="1">
      <c r="A190" s="12"/>
      <c r="B190" s="13"/>
      <c r="C190" s="8"/>
      <c r="D190" s="8"/>
      <c r="E190" s="13" t="str">
        <f>IF(ISBLANK(D190), "", VLOOKUP(D190, Config!$F$6:$G$30, 2, FALSE()))</f>
        <v/>
      </c>
      <c r="F190" s="16"/>
      <c r="G190" s="30"/>
    </row>
    <row r="191" ht="15.0" customHeight="1">
      <c r="A191" s="12"/>
      <c r="B191" s="13"/>
      <c r="C191" s="8"/>
      <c r="D191" s="8"/>
      <c r="E191" s="13" t="str">
        <f>IF(ISBLANK(D191), "", VLOOKUP(D191, Config!$F$6:$G$30, 2, FALSE()))</f>
        <v/>
      </c>
      <c r="F191" s="16"/>
      <c r="G191" s="30"/>
    </row>
    <row r="192" ht="15.0" customHeight="1">
      <c r="A192" s="12"/>
      <c r="B192" s="13"/>
      <c r="C192" s="8"/>
      <c r="D192" s="8"/>
      <c r="E192" s="13" t="str">
        <f>IF(ISBLANK(D192), "", VLOOKUP(D192, Config!$F$6:$G$30, 2, FALSE()))</f>
        <v/>
      </c>
      <c r="F192" s="16"/>
      <c r="G192" s="30"/>
    </row>
    <row r="193" ht="15.0" customHeight="1">
      <c r="A193" s="12"/>
      <c r="B193" s="13"/>
      <c r="C193" s="8"/>
      <c r="D193" s="8"/>
      <c r="E193" s="13" t="str">
        <f>IF(ISBLANK(D193), "", VLOOKUP(D193, Config!$F$6:$G$30, 2, FALSE()))</f>
        <v/>
      </c>
      <c r="F193" s="16"/>
      <c r="G193" s="30"/>
    </row>
    <row r="194" ht="15.0" customHeight="1">
      <c r="A194" s="12"/>
      <c r="B194" s="13"/>
      <c r="C194" s="8"/>
      <c r="D194" s="8"/>
      <c r="E194" s="13" t="str">
        <f>IF(ISBLANK(D194), "", VLOOKUP(D194, Config!$F$6:$G$30, 2, FALSE()))</f>
        <v/>
      </c>
      <c r="F194" s="16"/>
      <c r="G194" s="30"/>
    </row>
    <row r="195" ht="15.0" customHeight="1">
      <c r="A195" s="12"/>
      <c r="B195" s="13"/>
      <c r="C195" s="8"/>
      <c r="D195" s="8"/>
      <c r="E195" s="13" t="str">
        <f>IF(ISBLANK(D195), "", VLOOKUP(D195, Config!$F$6:$G$30, 2, FALSE()))</f>
        <v/>
      </c>
      <c r="F195" s="16"/>
      <c r="G195" s="30"/>
    </row>
    <row r="196" ht="15.0" customHeight="1">
      <c r="A196" s="12"/>
      <c r="B196" s="13"/>
      <c r="C196" s="8"/>
      <c r="D196" s="8"/>
      <c r="E196" s="13" t="str">
        <f>IF(ISBLANK(D196), "", VLOOKUP(D196, Config!$F$6:$G$30, 2, FALSE()))</f>
        <v/>
      </c>
      <c r="F196" s="16"/>
      <c r="G196" s="30"/>
    </row>
    <row r="197" ht="15.0" customHeight="1">
      <c r="A197" s="12"/>
      <c r="B197" s="13"/>
      <c r="C197" s="8"/>
      <c r="D197" s="8"/>
      <c r="E197" s="13" t="str">
        <f>IF(ISBLANK(D197), "", VLOOKUP(D197, Config!$F$6:$G$30, 2, FALSE()))</f>
        <v/>
      </c>
      <c r="F197" s="16"/>
      <c r="G197" s="30"/>
    </row>
    <row r="198" ht="15.0" customHeight="1">
      <c r="A198" s="12"/>
      <c r="B198" s="13"/>
      <c r="C198" s="8"/>
      <c r="D198" s="8"/>
      <c r="E198" s="13" t="str">
        <f>IF(ISBLANK(D198), "", VLOOKUP(D198, Config!$F$6:$G$30, 2, FALSE()))</f>
        <v/>
      </c>
      <c r="F198" s="16"/>
      <c r="G198" s="30"/>
    </row>
    <row r="199" ht="15.0" customHeight="1">
      <c r="A199" s="12"/>
      <c r="B199" s="13"/>
      <c r="C199" s="8"/>
      <c r="D199" s="8"/>
      <c r="E199" s="13" t="str">
        <f>IF(ISBLANK(D199), "", VLOOKUP(D199, Config!$F$6:$G$30, 2, FALSE()))</f>
        <v/>
      </c>
      <c r="F199" s="16"/>
      <c r="G199" s="30"/>
    </row>
    <row r="200" ht="15.0" customHeight="1">
      <c r="A200" s="12"/>
      <c r="B200" s="13"/>
      <c r="C200" s="8"/>
      <c r="D200" s="8"/>
      <c r="E200" s="13" t="str">
        <f>IF(ISBLANK(D200), "", VLOOKUP(D200, Config!$F$6:$G$30, 2, FALSE()))</f>
        <v/>
      </c>
      <c r="F200" s="16"/>
      <c r="G200" s="30"/>
    </row>
    <row r="201" ht="15.0" customHeight="1">
      <c r="A201" s="12"/>
      <c r="B201" s="13"/>
      <c r="C201" s="8"/>
      <c r="D201" s="8"/>
      <c r="E201" s="13" t="str">
        <f>IF(ISBLANK(D201), "", VLOOKUP(D201, Config!$F$6:$G$30, 2, FALSE()))</f>
        <v/>
      </c>
      <c r="F201" s="16"/>
      <c r="G201" s="30"/>
    </row>
    <row r="202" ht="15.0" customHeight="1">
      <c r="A202" s="12"/>
      <c r="B202" s="13"/>
      <c r="C202" s="8"/>
      <c r="D202" s="8"/>
      <c r="E202" s="13" t="str">
        <f>IF(ISBLANK(D202), "", VLOOKUP(D202, Config!$F$6:$G$30, 2, FALSE()))</f>
        <v/>
      </c>
      <c r="F202" s="16"/>
      <c r="G202" s="30"/>
    </row>
    <row r="203" ht="15.0" customHeight="1">
      <c r="A203" s="12"/>
      <c r="B203" s="13"/>
      <c r="C203" s="8"/>
      <c r="D203" s="8"/>
      <c r="E203" s="13" t="str">
        <f>IF(ISBLANK(D203), "", VLOOKUP(D203, Config!$F$6:$G$30, 2, FALSE()))</f>
        <v/>
      </c>
      <c r="F203" s="16"/>
      <c r="G203" s="30"/>
    </row>
    <row r="204" ht="15.0" customHeight="1">
      <c r="A204" s="12"/>
      <c r="B204" s="13"/>
      <c r="C204" s="8"/>
      <c r="D204" s="8"/>
      <c r="E204" s="13" t="str">
        <f>IF(ISBLANK(D204), "", VLOOKUP(D204, Config!$F$6:$G$30, 2, FALSE()))</f>
        <v/>
      </c>
      <c r="F204" s="16"/>
      <c r="G204" s="30"/>
    </row>
    <row r="205" ht="15.0" customHeight="1">
      <c r="A205" s="12"/>
      <c r="B205" s="13"/>
      <c r="C205" s="8"/>
      <c r="D205" s="8"/>
      <c r="E205" s="13" t="str">
        <f>IF(ISBLANK(D205), "", VLOOKUP(D205, Config!$F$6:$G$30, 2, FALSE()))</f>
        <v/>
      </c>
      <c r="F205" s="16"/>
      <c r="G205" s="30"/>
    </row>
    <row r="206" ht="15.0" customHeight="1">
      <c r="A206" s="12"/>
      <c r="B206" s="13"/>
      <c r="C206" s="8"/>
      <c r="D206" s="8"/>
      <c r="E206" s="13" t="str">
        <f>IF(ISBLANK(D206), "", VLOOKUP(D206, Config!$F$6:$G$30, 2, FALSE()))</f>
        <v/>
      </c>
      <c r="F206" s="16"/>
      <c r="G206" s="30"/>
    </row>
    <row r="207" ht="15.0" customHeight="1">
      <c r="A207" s="12"/>
      <c r="B207" s="13"/>
      <c r="C207" s="8"/>
      <c r="D207" s="8"/>
      <c r="E207" s="13" t="str">
        <f>IF(ISBLANK(D207), "", VLOOKUP(D207, Config!$F$6:$G$30, 2, FALSE()))</f>
        <v/>
      </c>
      <c r="F207" s="16"/>
      <c r="G207" s="30"/>
    </row>
    <row r="208" ht="15.0" customHeight="1">
      <c r="A208" s="12"/>
      <c r="B208" s="13"/>
      <c r="C208" s="8"/>
      <c r="D208" s="8"/>
      <c r="E208" s="13" t="str">
        <f>IF(ISBLANK(D208), "", VLOOKUP(D208, Config!$F$6:$G$30, 2, FALSE()))</f>
        <v/>
      </c>
      <c r="F208" s="16"/>
      <c r="G208" s="30"/>
    </row>
    <row r="209" ht="15.0" customHeight="1">
      <c r="A209" s="12"/>
      <c r="B209" s="13"/>
      <c r="C209" s="8"/>
      <c r="D209" s="8"/>
      <c r="E209" s="13" t="str">
        <f>IF(ISBLANK(D209), "", VLOOKUP(D209, Config!$F$6:$G$30, 2, FALSE()))</f>
        <v/>
      </c>
      <c r="F209" s="16"/>
      <c r="G209" s="30"/>
    </row>
    <row r="210" ht="15.0" customHeight="1">
      <c r="A210" s="12"/>
      <c r="B210" s="13"/>
      <c r="C210" s="8"/>
      <c r="D210" s="8"/>
      <c r="E210" s="13" t="str">
        <f>IF(ISBLANK(D210), "", VLOOKUP(D210, Config!$F$6:$G$30, 2, FALSE()))</f>
        <v/>
      </c>
      <c r="F210" s="16"/>
      <c r="G210" s="30"/>
    </row>
    <row r="211" ht="15.0" customHeight="1">
      <c r="A211" s="12"/>
      <c r="B211" s="13"/>
      <c r="C211" s="8"/>
      <c r="D211" s="8"/>
      <c r="E211" s="13" t="str">
        <f>IF(ISBLANK(D211), "", VLOOKUP(D211, Config!$F$6:$G$30, 2, FALSE()))</f>
        <v/>
      </c>
      <c r="F211" s="16"/>
      <c r="G211" s="30"/>
    </row>
    <row r="212" ht="15.0" customHeight="1">
      <c r="A212" s="12"/>
      <c r="B212" s="13"/>
      <c r="C212" s="8"/>
      <c r="D212" s="8"/>
      <c r="E212" s="13" t="str">
        <f>IF(ISBLANK(D212), "", VLOOKUP(D212, Config!$F$6:$G$30, 2, FALSE()))</f>
        <v/>
      </c>
      <c r="F212" s="16"/>
      <c r="G212" s="30"/>
    </row>
    <row r="213" ht="15.0" customHeight="1">
      <c r="A213" s="12"/>
      <c r="B213" s="13"/>
      <c r="C213" s="8"/>
      <c r="D213" s="8"/>
      <c r="E213" s="13" t="str">
        <f>IF(ISBLANK(D213), "", VLOOKUP(D213, Config!$F$6:$G$30, 2, FALSE()))</f>
        <v/>
      </c>
      <c r="F213" s="16"/>
      <c r="G213" s="30"/>
    </row>
    <row r="214" ht="15.0" customHeight="1">
      <c r="A214" s="12"/>
      <c r="B214" s="13"/>
      <c r="C214" s="8"/>
      <c r="D214" s="8"/>
      <c r="E214" s="13" t="str">
        <f>IF(ISBLANK(D214), "", VLOOKUP(D214, Config!$F$6:$G$30, 2, FALSE()))</f>
        <v/>
      </c>
      <c r="F214" s="16"/>
      <c r="G214" s="30"/>
    </row>
    <row r="215" ht="15.0" customHeight="1">
      <c r="A215" s="12"/>
      <c r="B215" s="13"/>
      <c r="C215" s="8"/>
      <c r="D215" s="8"/>
      <c r="E215" s="13" t="str">
        <f>IF(ISBLANK(D215), "", VLOOKUP(D215, Config!$F$6:$G$30, 2, FALSE()))</f>
        <v/>
      </c>
      <c r="F215" s="16"/>
      <c r="G215" s="30"/>
    </row>
    <row r="216" ht="15.0" customHeight="1">
      <c r="A216" s="12"/>
      <c r="B216" s="13"/>
      <c r="C216" s="8"/>
      <c r="D216" s="8"/>
      <c r="E216" s="13" t="str">
        <f>IF(ISBLANK(D216), "", VLOOKUP(D216, Config!$F$6:$G$30, 2, FALSE()))</f>
        <v/>
      </c>
      <c r="F216" s="16"/>
      <c r="G216" s="30"/>
    </row>
    <row r="217" ht="15.0" customHeight="1">
      <c r="A217" s="12"/>
      <c r="B217" s="13"/>
      <c r="C217" s="8"/>
      <c r="D217" s="8"/>
      <c r="E217" s="13" t="str">
        <f>IF(ISBLANK(D217), "", VLOOKUP(D217, Config!$F$6:$G$30, 2, FALSE()))</f>
        <v/>
      </c>
      <c r="F217" s="16"/>
      <c r="G217" s="30"/>
    </row>
    <row r="218" ht="15.0" customHeight="1">
      <c r="A218" s="12"/>
      <c r="B218" s="13"/>
      <c r="C218" s="8"/>
      <c r="D218" s="8"/>
      <c r="E218" s="13" t="str">
        <f>IF(ISBLANK(D218), "", VLOOKUP(D218, Config!$F$6:$G$30, 2, FALSE()))</f>
        <v/>
      </c>
      <c r="F218" s="16"/>
      <c r="G218" s="30"/>
    </row>
    <row r="219" ht="15.0" customHeight="1">
      <c r="A219" s="12"/>
      <c r="B219" s="13"/>
      <c r="C219" s="8"/>
      <c r="D219" s="8"/>
      <c r="E219" s="13" t="str">
        <f>IF(ISBLANK(D219), "", VLOOKUP(D219, Config!$F$6:$G$30, 2, FALSE()))</f>
        <v/>
      </c>
      <c r="F219" s="16"/>
      <c r="G219" s="30"/>
    </row>
    <row r="220" ht="15.0" customHeight="1">
      <c r="A220" s="12"/>
      <c r="B220" s="13"/>
      <c r="C220" s="8"/>
      <c r="D220" s="8"/>
      <c r="E220" s="13" t="str">
        <f>IF(ISBLANK(D220), "", VLOOKUP(D220, Config!$F$6:$G$30, 2, FALSE()))</f>
        <v/>
      </c>
      <c r="F220" s="16"/>
      <c r="G220" s="30"/>
    </row>
    <row r="221" ht="15.0" customHeight="1">
      <c r="A221" s="12"/>
      <c r="B221" s="13"/>
      <c r="C221" s="8"/>
      <c r="D221" s="8"/>
      <c r="E221" s="13" t="str">
        <f>IF(ISBLANK(D221), "", VLOOKUP(D221, Config!$F$6:$G$30, 2, FALSE()))</f>
        <v/>
      </c>
      <c r="F221" s="16"/>
      <c r="G221" s="30"/>
    </row>
    <row r="222" ht="15.0" customHeight="1">
      <c r="A222" s="12"/>
      <c r="B222" s="13"/>
      <c r="C222" s="8"/>
      <c r="D222" s="8"/>
      <c r="E222" s="13" t="str">
        <f>IF(ISBLANK(D222), "", VLOOKUP(D222, Config!$F$6:$G$30, 2, FALSE()))</f>
        <v/>
      </c>
      <c r="F222" s="16"/>
      <c r="G222" s="30"/>
    </row>
    <row r="223" ht="15.0" customHeight="1">
      <c r="A223" s="12"/>
      <c r="B223" s="13"/>
      <c r="C223" s="8"/>
      <c r="D223" s="8"/>
      <c r="E223" s="13" t="str">
        <f>IF(ISBLANK(D223), "", VLOOKUP(D223, Config!$F$6:$G$30, 2, FALSE()))</f>
        <v/>
      </c>
      <c r="F223" s="16"/>
      <c r="G223" s="30"/>
    </row>
    <row r="224" ht="15.0" customHeight="1">
      <c r="A224" s="12"/>
      <c r="B224" s="13"/>
      <c r="C224" s="8"/>
      <c r="D224" s="8"/>
      <c r="E224" s="13" t="str">
        <f>IF(ISBLANK(D224), "", VLOOKUP(D224, Config!$F$6:$G$30, 2, FALSE()))</f>
        <v/>
      </c>
      <c r="F224" s="16"/>
      <c r="G224" s="30"/>
    </row>
    <row r="225" ht="15.0" customHeight="1">
      <c r="A225" s="12"/>
      <c r="B225" s="13"/>
      <c r="C225" s="8"/>
      <c r="D225" s="8"/>
      <c r="E225" s="13" t="str">
        <f>IF(ISBLANK(D225), "", VLOOKUP(D225, Config!$F$6:$G$30, 2, FALSE()))</f>
        <v/>
      </c>
      <c r="F225" s="16"/>
      <c r="G225" s="30"/>
    </row>
    <row r="226" ht="15.0" customHeight="1">
      <c r="A226" s="12"/>
      <c r="B226" s="13"/>
      <c r="C226" s="8"/>
      <c r="D226" s="8"/>
      <c r="E226" s="13" t="str">
        <f>IF(ISBLANK(D226), "", VLOOKUP(D226, Config!$F$6:$G$30, 2, FALSE()))</f>
        <v/>
      </c>
      <c r="F226" s="16"/>
      <c r="G226" s="30"/>
    </row>
    <row r="227" ht="15.0" customHeight="1">
      <c r="A227" s="12"/>
      <c r="B227" s="13"/>
      <c r="C227" s="8"/>
      <c r="D227" s="8"/>
      <c r="E227" s="13" t="str">
        <f>IF(ISBLANK(D227), "", VLOOKUP(D227, Config!$F$6:$G$30, 2, FALSE()))</f>
        <v/>
      </c>
      <c r="F227" s="16"/>
      <c r="G227" s="30"/>
    </row>
    <row r="228" ht="15.0" customHeight="1">
      <c r="A228" s="12"/>
      <c r="B228" s="13"/>
      <c r="C228" s="8"/>
      <c r="D228" s="8"/>
      <c r="E228" s="13" t="str">
        <f>IF(ISBLANK(D228), "", VLOOKUP(D228, Config!$F$6:$G$30, 2, FALSE()))</f>
        <v/>
      </c>
      <c r="F228" s="16"/>
      <c r="G228" s="30"/>
    </row>
    <row r="229" ht="15.0" customHeight="1">
      <c r="A229" s="12"/>
      <c r="B229" s="13"/>
      <c r="C229" s="8"/>
      <c r="D229" s="8"/>
      <c r="E229" s="13" t="str">
        <f>IF(ISBLANK(D229), "", VLOOKUP(D229, Config!$F$6:$G$30, 2, FALSE()))</f>
        <v/>
      </c>
      <c r="F229" s="16"/>
      <c r="G229" s="30"/>
    </row>
    <row r="230" ht="15.0" customHeight="1">
      <c r="A230" s="12"/>
      <c r="B230" s="13"/>
      <c r="C230" s="8"/>
      <c r="D230" s="8"/>
      <c r="E230" s="13" t="str">
        <f>IF(ISBLANK(D230), "", VLOOKUP(D230, Config!$F$6:$G$30, 2, FALSE()))</f>
        <v/>
      </c>
      <c r="F230" s="16"/>
      <c r="G230" s="30"/>
    </row>
    <row r="231" ht="15.0" customHeight="1">
      <c r="A231" s="12"/>
      <c r="B231" s="13"/>
      <c r="C231" s="8"/>
      <c r="D231" s="8"/>
      <c r="E231" s="13" t="str">
        <f>IF(ISBLANK(D231), "", VLOOKUP(D231, Config!$F$6:$G$30, 2, FALSE()))</f>
        <v/>
      </c>
      <c r="F231" s="16"/>
      <c r="G231" s="30"/>
    </row>
    <row r="232" ht="15.0" customHeight="1">
      <c r="A232" s="12"/>
      <c r="B232" s="13"/>
      <c r="C232" s="8"/>
      <c r="D232" s="8"/>
      <c r="E232" s="13" t="str">
        <f>IF(ISBLANK(D232), "", VLOOKUP(D232, Config!$F$6:$G$30, 2, FALSE()))</f>
        <v/>
      </c>
      <c r="F232" s="16"/>
      <c r="G232" s="30"/>
    </row>
    <row r="233" ht="15.0" customHeight="1">
      <c r="A233" s="12"/>
      <c r="B233" s="13"/>
      <c r="C233" s="8"/>
      <c r="D233" s="8"/>
      <c r="E233" s="13" t="str">
        <f>IF(ISBLANK(D233), "", VLOOKUP(D233, Config!$F$6:$G$30, 2, FALSE()))</f>
        <v/>
      </c>
      <c r="F233" s="16"/>
      <c r="G233" s="30"/>
    </row>
    <row r="234" ht="15.0" customHeight="1">
      <c r="A234" s="12"/>
      <c r="B234" s="13"/>
      <c r="C234" s="8"/>
      <c r="D234" s="8"/>
      <c r="E234" s="13" t="str">
        <f>IF(ISBLANK(D234), "", VLOOKUP(D234, Config!$F$6:$G$30, 2, FALSE()))</f>
        <v/>
      </c>
      <c r="F234" s="16"/>
      <c r="G234" s="30"/>
    </row>
    <row r="235" ht="15.0" customHeight="1">
      <c r="A235" s="12"/>
      <c r="B235" s="13"/>
      <c r="C235" s="8"/>
      <c r="D235" s="8"/>
      <c r="E235" s="13" t="str">
        <f>IF(ISBLANK(D235), "", VLOOKUP(D235, Config!$F$6:$G$30, 2, FALSE()))</f>
        <v/>
      </c>
      <c r="F235" s="16"/>
      <c r="G235" s="30"/>
    </row>
    <row r="236" ht="15.0" customHeight="1">
      <c r="A236" s="12"/>
      <c r="B236" s="13"/>
      <c r="C236" s="8"/>
      <c r="D236" s="8"/>
      <c r="E236" s="13" t="str">
        <f>IF(ISBLANK(D236), "", VLOOKUP(D236, Config!$F$6:$G$30, 2, FALSE()))</f>
        <v/>
      </c>
      <c r="F236" s="16"/>
      <c r="G236" s="30"/>
    </row>
    <row r="237" ht="15.0" customHeight="1">
      <c r="A237" s="12"/>
      <c r="B237" s="13"/>
      <c r="C237" s="8"/>
      <c r="D237" s="8"/>
      <c r="E237" s="13" t="str">
        <f>IF(ISBLANK(D237), "", VLOOKUP(D237, Config!$F$6:$G$30, 2, FALSE()))</f>
        <v/>
      </c>
      <c r="F237" s="16"/>
      <c r="G237" s="30"/>
    </row>
    <row r="238" ht="15.0" customHeight="1">
      <c r="A238" s="12"/>
      <c r="B238" s="13"/>
      <c r="C238" s="8"/>
      <c r="D238" s="8"/>
      <c r="E238" s="13" t="str">
        <f>IF(ISBLANK(D238), "", VLOOKUP(D238, Config!$F$6:$G$30, 2, FALSE()))</f>
        <v/>
      </c>
      <c r="F238" s="16"/>
      <c r="G238" s="30"/>
    </row>
    <row r="239" ht="15.0" customHeight="1">
      <c r="A239" s="12"/>
      <c r="B239" s="13"/>
      <c r="C239" s="8"/>
      <c r="D239" s="8"/>
      <c r="E239" s="13" t="str">
        <f>IF(ISBLANK(D239), "", VLOOKUP(D239, Config!$F$6:$G$30, 2, FALSE()))</f>
        <v/>
      </c>
      <c r="F239" s="16"/>
      <c r="G239" s="30"/>
    </row>
    <row r="240" ht="15.0" customHeight="1">
      <c r="A240" s="12"/>
      <c r="B240" s="13"/>
      <c r="C240" s="8"/>
      <c r="D240" s="8"/>
      <c r="E240" s="13" t="str">
        <f>IF(ISBLANK(D240), "", VLOOKUP(D240, Config!$F$6:$G$30, 2, FALSE()))</f>
        <v/>
      </c>
      <c r="F240" s="16"/>
      <c r="G240" s="30"/>
    </row>
    <row r="241" ht="15.0" customHeight="1">
      <c r="A241" s="12"/>
      <c r="B241" s="13"/>
      <c r="C241" s="8"/>
      <c r="D241" s="8"/>
      <c r="E241" s="13" t="str">
        <f>IF(ISBLANK(D241), "", VLOOKUP(D241, Config!$F$6:$G$30, 2, FALSE()))</f>
        <v/>
      </c>
      <c r="F241" s="16"/>
      <c r="G241" s="30"/>
    </row>
    <row r="242" ht="15.0" customHeight="1">
      <c r="A242" s="12"/>
      <c r="B242" s="13"/>
      <c r="C242" s="8"/>
      <c r="D242" s="8"/>
      <c r="E242" s="13" t="str">
        <f>IF(ISBLANK(D242), "", VLOOKUP(D242, Config!$F$6:$G$30, 2, FALSE()))</f>
        <v/>
      </c>
      <c r="F242" s="16"/>
      <c r="G242" s="30"/>
    </row>
    <row r="243" ht="15.0" customHeight="1">
      <c r="A243" s="12"/>
      <c r="B243" s="13"/>
      <c r="C243" s="8"/>
      <c r="D243" s="8"/>
      <c r="E243" s="13" t="str">
        <f>IF(ISBLANK(D243), "", VLOOKUP(D243, Config!$F$6:$G$30, 2, FALSE()))</f>
        <v/>
      </c>
      <c r="F243" s="16"/>
      <c r="G243" s="30"/>
    </row>
    <row r="244" ht="15.0" customHeight="1">
      <c r="A244" s="12"/>
      <c r="B244" s="13"/>
      <c r="C244" s="8"/>
      <c r="D244" s="8"/>
      <c r="E244" s="13" t="str">
        <f>IF(ISBLANK(D244), "", VLOOKUP(D244, Config!$F$6:$G$30, 2, FALSE()))</f>
        <v/>
      </c>
      <c r="F244" s="16"/>
      <c r="G244" s="30"/>
    </row>
    <row r="245" ht="15.0" customHeight="1">
      <c r="A245" s="12"/>
      <c r="B245" s="13"/>
      <c r="C245" s="8"/>
      <c r="D245" s="8"/>
      <c r="E245" s="13" t="str">
        <f>IF(ISBLANK(D245), "", VLOOKUP(D245, Config!$F$6:$G$30, 2, FALSE()))</f>
        <v/>
      </c>
      <c r="F245" s="16"/>
      <c r="G245" s="30"/>
    </row>
    <row r="246" ht="15.0" customHeight="1">
      <c r="A246" s="12"/>
      <c r="B246" s="13"/>
      <c r="C246" s="8"/>
      <c r="D246" s="8"/>
      <c r="E246" s="13" t="str">
        <f>IF(ISBLANK(D246), "", VLOOKUP(D246, Config!$F$6:$G$30, 2, FALSE()))</f>
        <v/>
      </c>
      <c r="F246" s="16"/>
      <c r="G246" s="30"/>
    </row>
    <row r="247" ht="15.0" customHeight="1">
      <c r="A247" s="12"/>
      <c r="B247" s="13"/>
      <c r="C247" s="8"/>
      <c r="D247" s="8"/>
      <c r="E247" s="13" t="str">
        <f>IF(ISBLANK(D247), "", VLOOKUP(D247, Config!$F$6:$G$30, 2, FALSE()))</f>
        <v/>
      </c>
      <c r="F247" s="16"/>
      <c r="G247" s="30"/>
    </row>
    <row r="248" ht="15.0" customHeight="1">
      <c r="A248" s="12"/>
      <c r="B248" s="13"/>
      <c r="C248" s="8"/>
      <c r="D248" s="8"/>
      <c r="E248" s="13" t="str">
        <f>IF(ISBLANK(D248), "", VLOOKUP(D248, Config!$F$6:$G$30, 2, FALSE()))</f>
        <v/>
      </c>
      <c r="F248" s="16"/>
      <c r="G248" s="30"/>
    </row>
    <row r="249" ht="15.0" customHeight="1">
      <c r="A249" s="12"/>
      <c r="B249" s="13"/>
      <c r="C249" s="8"/>
      <c r="D249" s="8"/>
      <c r="E249" s="13" t="str">
        <f>IF(ISBLANK(D249), "", VLOOKUP(D249, Config!$F$6:$G$30, 2, FALSE()))</f>
        <v/>
      </c>
      <c r="F249" s="16"/>
      <c r="G249" s="30"/>
    </row>
    <row r="250" ht="15.0" customHeight="1">
      <c r="A250" s="12"/>
      <c r="B250" s="13"/>
      <c r="C250" s="8"/>
      <c r="D250" s="8"/>
      <c r="E250" s="13" t="str">
        <f>IF(ISBLANK(D250), "", VLOOKUP(D250, Config!$F$6:$G$30, 2, FALSE()))</f>
        <v/>
      </c>
      <c r="F250" s="16"/>
      <c r="G250" s="30"/>
    </row>
    <row r="251" ht="15.0" customHeight="1">
      <c r="A251" s="12"/>
      <c r="B251" s="13"/>
      <c r="C251" s="8"/>
      <c r="D251" s="8"/>
      <c r="E251" s="13" t="str">
        <f>IF(ISBLANK(D251), "", VLOOKUP(D251, Config!$F$6:$G$30, 2, FALSE()))</f>
        <v/>
      </c>
      <c r="F251" s="16"/>
      <c r="G251" s="30"/>
    </row>
    <row r="252" ht="15.0" customHeight="1">
      <c r="A252" s="12"/>
      <c r="B252" s="13"/>
      <c r="C252" s="8"/>
      <c r="D252" s="8"/>
      <c r="E252" s="13" t="str">
        <f>IF(ISBLANK(D252), "", VLOOKUP(D252, Config!$F$6:$G$30, 2, FALSE()))</f>
        <v/>
      </c>
      <c r="F252" s="16"/>
      <c r="G252" s="30"/>
    </row>
    <row r="253" ht="15.0" customHeight="1">
      <c r="A253" s="12"/>
      <c r="B253" s="13"/>
      <c r="C253" s="8"/>
      <c r="D253" s="8"/>
      <c r="E253" s="13" t="str">
        <f>IF(ISBLANK(D253), "", VLOOKUP(D253, Config!$F$6:$G$30, 2, FALSE()))</f>
        <v/>
      </c>
      <c r="F253" s="16"/>
      <c r="G253" s="30"/>
    </row>
    <row r="254" ht="15.0" customHeight="1">
      <c r="A254" s="12"/>
      <c r="B254" s="13"/>
      <c r="C254" s="8"/>
      <c r="D254" s="8"/>
      <c r="E254" s="13" t="str">
        <f>IF(ISBLANK(D254), "", VLOOKUP(D254, Config!$F$6:$G$30, 2, FALSE()))</f>
        <v/>
      </c>
      <c r="F254" s="16"/>
      <c r="G254" s="30"/>
    </row>
    <row r="255" ht="15.0" customHeight="1">
      <c r="A255" s="12"/>
      <c r="B255" s="13"/>
      <c r="C255" s="8"/>
      <c r="D255" s="8"/>
      <c r="E255" s="13" t="str">
        <f>IF(ISBLANK(D255), "", VLOOKUP(D255, Config!$F$6:$G$30, 2, FALSE()))</f>
        <v/>
      </c>
      <c r="F255" s="16"/>
      <c r="G255" s="30"/>
    </row>
    <row r="256" ht="15.0" customHeight="1">
      <c r="A256" s="12"/>
      <c r="B256" s="13"/>
      <c r="C256" s="8"/>
      <c r="D256" s="8"/>
      <c r="E256" s="13" t="str">
        <f>IF(ISBLANK(D256), "", VLOOKUP(D256, Config!$F$6:$G$30, 2, FALSE()))</f>
        <v/>
      </c>
      <c r="F256" s="16"/>
      <c r="G256" s="30"/>
    </row>
    <row r="257" ht="15.0" customHeight="1">
      <c r="A257" s="12"/>
      <c r="B257" s="13"/>
      <c r="C257" s="8"/>
      <c r="D257" s="8"/>
      <c r="E257" s="13" t="str">
        <f>IF(ISBLANK(D257), "", VLOOKUP(D257, Config!$F$6:$G$30, 2, FALSE()))</f>
        <v/>
      </c>
      <c r="F257" s="16"/>
      <c r="G257" s="30"/>
    </row>
    <row r="258" ht="15.0" customHeight="1">
      <c r="A258" s="12"/>
      <c r="B258" s="13"/>
      <c r="C258" s="8"/>
      <c r="D258" s="8"/>
      <c r="E258" s="13" t="str">
        <f>IF(ISBLANK(D258), "", VLOOKUP(D258, Config!$F$6:$G$30, 2, FALSE()))</f>
        <v/>
      </c>
      <c r="F258" s="16"/>
      <c r="G258" s="30"/>
    </row>
    <row r="259" ht="15.0" customHeight="1">
      <c r="A259" s="12"/>
      <c r="B259" s="13"/>
      <c r="C259" s="8"/>
      <c r="D259" s="8"/>
      <c r="E259" s="13" t="str">
        <f>IF(ISBLANK(D259), "", VLOOKUP(D259, Config!$F$6:$G$30, 2, FALSE()))</f>
        <v/>
      </c>
      <c r="F259" s="16"/>
      <c r="G259" s="30"/>
    </row>
    <row r="260" ht="15.0" customHeight="1">
      <c r="A260" s="12"/>
      <c r="B260" s="13"/>
      <c r="C260" s="8"/>
      <c r="D260" s="8"/>
      <c r="E260" s="13" t="str">
        <f>IF(ISBLANK(D260), "", VLOOKUP(D260, Config!$F$6:$G$30, 2, FALSE()))</f>
        <v/>
      </c>
      <c r="F260" s="16"/>
      <c r="G260" s="30"/>
    </row>
    <row r="261" ht="15.0" customHeight="1">
      <c r="A261" s="12"/>
      <c r="B261" s="13"/>
      <c r="C261" s="8"/>
      <c r="D261" s="8"/>
      <c r="E261" s="13" t="str">
        <f>IF(ISBLANK(D261), "", VLOOKUP(D261, Config!$F$6:$G$30, 2, FALSE()))</f>
        <v/>
      </c>
      <c r="F261" s="16"/>
      <c r="G261" s="30"/>
    </row>
    <row r="262" ht="15.0" customHeight="1">
      <c r="A262" s="12"/>
      <c r="B262" s="13"/>
      <c r="C262" s="8"/>
      <c r="D262" s="8"/>
      <c r="E262" s="13" t="str">
        <f>IF(ISBLANK(D262), "", VLOOKUP(D262, Config!$F$6:$G$30, 2, FALSE()))</f>
        <v/>
      </c>
      <c r="F262" s="16"/>
      <c r="G262" s="30"/>
    </row>
    <row r="263" ht="15.0" customHeight="1">
      <c r="A263" s="12"/>
      <c r="B263" s="13"/>
      <c r="C263" s="8"/>
      <c r="D263" s="8"/>
      <c r="E263" s="13" t="str">
        <f>IF(ISBLANK(D263), "", VLOOKUP(D263, Config!$F$6:$G$30, 2, FALSE()))</f>
        <v/>
      </c>
      <c r="F263" s="16"/>
      <c r="G263" s="30"/>
    </row>
    <row r="264" ht="15.0" customHeight="1">
      <c r="A264" s="12"/>
      <c r="B264" s="13"/>
      <c r="C264" s="8"/>
      <c r="D264" s="8"/>
      <c r="E264" s="13" t="str">
        <f>IF(ISBLANK(D264), "", VLOOKUP(D264, Config!$F$6:$G$30, 2, FALSE()))</f>
        <v/>
      </c>
      <c r="F264" s="16"/>
      <c r="G264" s="30"/>
    </row>
    <row r="265" ht="15.0" customHeight="1">
      <c r="A265" s="12"/>
      <c r="B265" s="13"/>
      <c r="C265" s="8"/>
      <c r="D265" s="8"/>
      <c r="E265" s="13" t="str">
        <f>IF(ISBLANK(D265), "", VLOOKUP(D265, Config!$F$6:$G$30, 2, FALSE()))</f>
        <v/>
      </c>
      <c r="F265" s="16"/>
      <c r="G265" s="30"/>
    </row>
    <row r="266" ht="15.0" customHeight="1">
      <c r="A266" s="12"/>
      <c r="B266" s="13"/>
      <c r="C266" s="8"/>
      <c r="D266" s="8"/>
      <c r="E266" s="13" t="str">
        <f>IF(ISBLANK(D266), "", VLOOKUP(D266, Config!$F$6:$G$30, 2, FALSE()))</f>
        <v/>
      </c>
      <c r="F266" s="16"/>
      <c r="G266" s="30"/>
    </row>
    <row r="267" ht="15.0" customHeight="1">
      <c r="A267" s="12"/>
      <c r="B267" s="13"/>
      <c r="C267" s="8"/>
      <c r="D267" s="8"/>
      <c r="E267" s="13" t="str">
        <f>IF(ISBLANK(D267), "", VLOOKUP(D267, Config!$F$6:$G$30, 2, FALSE()))</f>
        <v/>
      </c>
      <c r="F267" s="16"/>
      <c r="G267" s="30"/>
    </row>
    <row r="268" ht="15.0" customHeight="1">
      <c r="A268" s="12"/>
      <c r="B268" s="13"/>
      <c r="C268" s="8"/>
      <c r="D268" s="8"/>
      <c r="E268" s="13" t="str">
        <f>IF(ISBLANK(D268), "", VLOOKUP(D268, Config!$F$6:$G$30, 2, FALSE()))</f>
        <v/>
      </c>
      <c r="F268" s="16"/>
      <c r="G268" s="30"/>
    </row>
    <row r="269" ht="15.0" customHeight="1">
      <c r="A269" s="12"/>
      <c r="B269" s="13"/>
      <c r="C269" s="8"/>
      <c r="D269" s="8"/>
      <c r="E269" s="13" t="str">
        <f>IF(ISBLANK(D269), "", VLOOKUP(D269, Config!$F$6:$G$30, 2, FALSE()))</f>
        <v/>
      </c>
      <c r="F269" s="16"/>
      <c r="G269" s="30"/>
    </row>
    <row r="270" ht="15.0" customHeight="1">
      <c r="A270" s="12"/>
      <c r="B270" s="13"/>
      <c r="C270" s="8"/>
      <c r="D270" s="8"/>
      <c r="E270" s="13" t="str">
        <f>IF(ISBLANK(D270), "", VLOOKUP(D270, Config!$F$6:$G$30, 2, FALSE()))</f>
        <v/>
      </c>
      <c r="F270" s="16"/>
      <c r="G270" s="30"/>
    </row>
    <row r="271" ht="15.0" customHeight="1">
      <c r="A271" s="12"/>
      <c r="B271" s="13"/>
      <c r="C271" s="8"/>
      <c r="D271" s="8"/>
      <c r="E271" s="13" t="str">
        <f>IF(ISBLANK(D271), "", VLOOKUP(D271, Config!$F$6:$G$30, 2, FALSE()))</f>
        <v/>
      </c>
      <c r="F271" s="16"/>
      <c r="G271" s="30"/>
    </row>
    <row r="272" ht="15.0" customHeight="1">
      <c r="A272" s="12"/>
      <c r="B272" s="13"/>
      <c r="C272" s="8"/>
      <c r="D272" s="8"/>
      <c r="E272" s="13" t="str">
        <f>IF(ISBLANK(D272), "", VLOOKUP(D272, Config!$F$6:$G$30, 2, FALSE()))</f>
        <v/>
      </c>
      <c r="F272" s="16"/>
      <c r="G272" s="30"/>
    </row>
    <row r="273" ht="15.0" customHeight="1">
      <c r="A273" s="12"/>
      <c r="B273" s="13"/>
      <c r="C273" s="8"/>
      <c r="D273" s="8"/>
      <c r="E273" s="13" t="str">
        <f>IF(ISBLANK(D273), "", VLOOKUP(D273, Config!$F$6:$G$30, 2, FALSE()))</f>
        <v/>
      </c>
      <c r="F273" s="16"/>
      <c r="G273" s="30"/>
    </row>
    <row r="274" ht="15.0" customHeight="1">
      <c r="A274" s="12"/>
      <c r="B274" s="13"/>
      <c r="C274" s="8"/>
      <c r="D274" s="8"/>
      <c r="E274" s="13" t="str">
        <f>IF(ISBLANK(D274), "", VLOOKUP(D274, Config!$F$6:$G$30, 2, FALSE()))</f>
        <v/>
      </c>
      <c r="F274" s="16"/>
      <c r="G274" s="30"/>
    </row>
    <row r="275" ht="15.0" customHeight="1">
      <c r="A275" s="12"/>
      <c r="B275" s="13"/>
      <c r="C275" s="8"/>
      <c r="D275" s="8"/>
      <c r="E275" s="13" t="str">
        <f>IF(ISBLANK(D275), "", VLOOKUP(D275, Config!$F$6:$G$30, 2, FALSE()))</f>
        <v/>
      </c>
      <c r="F275" s="16"/>
      <c r="G275" s="30"/>
    </row>
    <row r="276" ht="15.0" customHeight="1">
      <c r="A276" s="12"/>
      <c r="B276" s="13"/>
      <c r="C276" s="8"/>
      <c r="D276" s="8"/>
      <c r="E276" s="13" t="str">
        <f>IF(ISBLANK(D276), "", VLOOKUP(D276, Config!$F$6:$G$30, 2, FALSE()))</f>
        <v/>
      </c>
      <c r="F276" s="16"/>
      <c r="G276" s="30"/>
    </row>
    <row r="277" ht="15.0" customHeight="1">
      <c r="A277" s="12"/>
      <c r="B277" s="13"/>
      <c r="C277" s="8"/>
      <c r="D277" s="8"/>
      <c r="E277" s="13" t="str">
        <f>IF(ISBLANK(D277), "", VLOOKUP(D277, Config!$F$6:$G$30, 2, FALSE()))</f>
        <v/>
      </c>
      <c r="F277" s="16"/>
      <c r="G277" s="30"/>
    </row>
    <row r="278" ht="15.0" customHeight="1">
      <c r="A278" s="12"/>
      <c r="B278" s="13"/>
      <c r="C278" s="8"/>
      <c r="D278" s="8"/>
      <c r="E278" s="13" t="str">
        <f>IF(ISBLANK(D278), "", VLOOKUP(D278, Config!$F$6:$G$30, 2, FALSE()))</f>
        <v/>
      </c>
      <c r="F278" s="16"/>
      <c r="G278" s="30"/>
    </row>
    <row r="279" ht="15.0" customHeight="1">
      <c r="A279" s="12"/>
      <c r="B279" s="13"/>
      <c r="C279" s="8"/>
      <c r="D279" s="8"/>
      <c r="E279" s="13" t="str">
        <f>IF(ISBLANK(D279), "", VLOOKUP(D279, Config!$F$6:$G$30, 2, FALSE()))</f>
        <v/>
      </c>
      <c r="F279" s="16"/>
      <c r="G279" s="30"/>
    </row>
    <row r="280" ht="15.0" customHeight="1">
      <c r="A280" s="12"/>
      <c r="B280" s="13"/>
      <c r="C280" s="8"/>
      <c r="D280" s="8"/>
      <c r="E280" s="13" t="str">
        <f>IF(ISBLANK(D280), "", VLOOKUP(D280, Config!$F$6:$G$30, 2, FALSE()))</f>
        <v/>
      </c>
      <c r="F280" s="16"/>
      <c r="G280" s="30"/>
    </row>
    <row r="281" ht="15.0" customHeight="1">
      <c r="A281" s="12"/>
      <c r="B281" s="13"/>
      <c r="C281" s="8"/>
      <c r="D281" s="8"/>
      <c r="E281" s="13" t="str">
        <f>IF(ISBLANK(D281), "", VLOOKUP(D281, Config!$F$6:$G$30, 2, FALSE()))</f>
        <v/>
      </c>
      <c r="F281" s="16"/>
      <c r="G281" s="30"/>
    </row>
    <row r="282" ht="15.0" customHeight="1">
      <c r="A282" s="12"/>
      <c r="B282" s="13"/>
      <c r="C282" s="8"/>
      <c r="D282" s="8"/>
      <c r="E282" s="13" t="str">
        <f>IF(ISBLANK(D282), "", VLOOKUP(D282, Config!$F$6:$G$30, 2, FALSE()))</f>
        <v/>
      </c>
      <c r="F282" s="16"/>
      <c r="G282" s="30"/>
    </row>
    <row r="283" ht="15.0" customHeight="1">
      <c r="A283" s="12"/>
      <c r="B283" s="13"/>
      <c r="C283" s="8"/>
      <c r="D283" s="8"/>
      <c r="E283" s="13" t="str">
        <f>IF(ISBLANK(D283), "", VLOOKUP(D283, Config!$F$6:$G$30, 2, FALSE()))</f>
        <v/>
      </c>
      <c r="F283" s="16"/>
      <c r="G283" s="30"/>
    </row>
    <row r="284" ht="15.0" customHeight="1">
      <c r="A284" s="12"/>
      <c r="B284" s="13"/>
      <c r="C284" s="8"/>
      <c r="D284" s="8"/>
      <c r="E284" s="13" t="str">
        <f>IF(ISBLANK(D284), "", VLOOKUP(D284, Config!$F$6:$G$30, 2, FALSE()))</f>
        <v/>
      </c>
      <c r="F284" s="16"/>
      <c r="G284" s="30"/>
    </row>
    <row r="285" ht="15.0" customHeight="1">
      <c r="A285" s="12"/>
      <c r="B285" s="13"/>
      <c r="C285" s="8"/>
      <c r="D285" s="8"/>
      <c r="E285" s="13" t="str">
        <f>IF(ISBLANK(D285), "", VLOOKUP(D285, Config!$F$6:$G$30, 2, FALSE()))</f>
        <v/>
      </c>
      <c r="F285" s="16"/>
      <c r="G285" s="30"/>
    </row>
    <row r="286" ht="15.0" customHeight="1">
      <c r="A286" s="12"/>
      <c r="B286" s="13"/>
      <c r="C286" s="8"/>
      <c r="D286" s="8"/>
      <c r="E286" s="13" t="str">
        <f>IF(ISBLANK(D286), "", VLOOKUP(D286, Config!$F$6:$G$30, 2, FALSE()))</f>
        <v/>
      </c>
      <c r="F286" s="16"/>
      <c r="G286" s="30"/>
    </row>
    <row r="287" ht="15.0" customHeight="1">
      <c r="A287" s="12"/>
      <c r="B287" s="13"/>
      <c r="C287" s="8"/>
      <c r="D287" s="8"/>
      <c r="E287" s="13" t="str">
        <f>IF(ISBLANK(D287), "", VLOOKUP(D287, Config!$F$6:$G$30, 2, FALSE()))</f>
        <v/>
      </c>
      <c r="F287" s="16"/>
      <c r="G287" s="30"/>
    </row>
    <row r="288" ht="15.0" customHeight="1">
      <c r="A288" s="12"/>
      <c r="B288" s="13"/>
      <c r="C288" s="8"/>
      <c r="D288" s="8"/>
      <c r="E288" s="13" t="str">
        <f>IF(ISBLANK(D288), "", VLOOKUP(D288, Config!$F$6:$G$30, 2, FALSE()))</f>
        <v/>
      </c>
      <c r="F288" s="16"/>
      <c r="G288" s="30"/>
    </row>
    <row r="289" ht="15.0" customHeight="1">
      <c r="A289" s="12"/>
      <c r="B289" s="13"/>
      <c r="C289" s="8"/>
      <c r="D289" s="8"/>
      <c r="E289" s="13" t="str">
        <f>IF(ISBLANK(D289), "", VLOOKUP(D289, Config!$F$6:$G$30, 2, FALSE()))</f>
        <v/>
      </c>
      <c r="F289" s="16"/>
      <c r="G289" s="30"/>
    </row>
    <row r="290" ht="15.0" customHeight="1">
      <c r="A290" s="12"/>
      <c r="B290" s="13"/>
      <c r="C290" s="8"/>
      <c r="D290" s="8"/>
      <c r="E290" s="13" t="str">
        <f>IF(ISBLANK(D290), "", VLOOKUP(D290, Config!$F$6:$G$30, 2, FALSE()))</f>
        <v/>
      </c>
      <c r="F290" s="16"/>
      <c r="G290" s="30"/>
    </row>
    <row r="291" ht="15.0" customHeight="1">
      <c r="A291" s="12"/>
      <c r="B291" s="13"/>
      <c r="C291" s="8"/>
      <c r="D291" s="8"/>
      <c r="E291" s="13" t="str">
        <f>IF(ISBLANK(D291), "", VLOOKUP(D291, Config!$F$6:$G$30, 2, FALSE()))</f>
        <v/>
      </c>
      <c r="F291" s="16"/>
      <c r="G291" s="30"/>
    </row>
    <row r="292" ht="15.0" customHeight="1">
      <c r="A292" s="12"/>
      <c r="B292" s="13"/>
      <c r="C292" s="8"/>
      <c r="D292" s="8"/>
      <c r="E292" s="13" t="str">
        <f>IF(ISBLANK(D292), "", VLOOKUP(D292, Config!$F$6:$G$30, 2, FALSE()))</f>
        <v/>
      </c>
      <c r="F292" s="16"/>
      <c r="G292" s="30"/>
    </row>
    <row r="293" ht="15.0" customHeight="1">
      <c r="A293" s="12"/>
      <c r="B293" s="13"/>
      <c r="C293" s="8"/>
      <c r="D293" s="8"/>
      <c r="E293" s="13" t="str">
        <f>IF(ISBLANK(D293), "", VLOOKUP(D293, Config!$F$6:$G$30, 2, FALSE()))</f>
        <v/>
      </c>
      <c r="F293" s="16"/>
      <c r="G293" s="30"/>
    </row>
    <row r="294" ht="15.0" customHeight="1">
      <c r="A294" s="12"/>
      <c r="B294" s="13"/>
      <c r="C294" s="8"/>
      <c r="D294" s="8"/>
      <c r="E294" s="13" t="str">
        <f>IF(ISBLANK(D294), "", VLOOKUP(D294, Config!$F$6:$G$30, 2, FALSE()))</f>
        <v/>
      </c>
      <c r="F294" s="16"/>
      <c r="G294" s="30"/>
    </row>
    <row r="295" ht="15.0" customHeight="1">
      <c r="A295" s="12"/>
      <c r="B295" s="13"/>
      <c r="C295" s="8"/>
      <c r="D295" s="8"/>
      <c r="E295" s="13" t="str">
        <f>IF(ISBLANK(D295), "", VLOOKUP(D295, Config!$F$6:$G$30, 2, FALSE()))</f>
        <v/>
      </c>
      <c r="F295" s="16"/>
      <c r="G295" s="30"/>
    </row>
    <row r="296" ht="15.0" customHeight="1">
      <c r="A296" s="12"/>
      <c r="B296" s="13"/>
      <c r="C296" s="8"/>
      <c r="D296" s="8"/>
      <c r="E296" s="13" t="str">
        <f>IF(ISBLANK(D296), "", VLOOKUP(D296, Config!$F$6:$G$30, 2, FALSE()))</f>
        <v/>
      </c>
      <c r="F296" s="16"/>
      <c r="G296" s="30"/>
    </row>
    <row r="297" ht="15.0" customHeight="1">
      <c r="A297" s="12"/>
      <c r="B297" s="13"/>
      <c r="C297" s="8"/>
      <c r="D297" s="8"/>
      <c r="E297" s="13" t="str">
        <f>IF(ISBLANK(D297), "", VLOOKUP(D297, Config!$F$6:$G$30, 2, FALSE()))</f>
        <v/>
      </c>
      <c r="F297" s="16"/>
      <c r="G297" s="30"/>
    </row>
    <row r="298" ht="15.0" customHeight="1">
      <c r="A298" s="12"/>
      <c r="B298" s="13"/>
      <c r="C298" s="8"/>
      <c r="D298" s="8"/>
      <c r="E298" s="13" t="str">
        <f>IF(ISBLANK(D298), "", VLOOKUP(D298, Config!$F$6:$G$30, 2, FALSE()))</f>
        <v/>
      </c>
      <c r="F298" s="16"/>
      <c r="G298" s="30"/>
    </row>
    <row r="299" ht="15.0" customHeight="1">
      <c r="A299" s="12"/>
      <c r="B299" s="13"/>
      <c r="C299" s="8"/>
      <c r="D299" s="8"/>
      <c r="E299" s="13" t="str">
        <f>IF(ISBLANK(D299), "", VLOOKUP(D299, Config!$F$6:$G$30, 2, FALSE()))</f>
        <v/>
      </c>
      <c r="F299" s="16"/>
      <c r="G299" s="30"/>
    </row>
    <row r="300" ht="15.0" customHeight="1">
      <c r="A300" s="12"/>
      <c r="B300" s="13"/>
      <c r="C300" s="8"/>
      <c r="D300" s="8"/>
      <c r="E300" s="13" t="str">
        <f>IF(ISBLANK(D300), "", VLOOKUP(D300, Config!$F$6:$G$30, 2, FALSE()))</f>
        <v/>
      </c>
      <c r="F300" s="16"/>
      <c r="G300" s="30"/>
    </row>
    <row r="301" ht="15.0" customHeight="1">
      <c r="A301" s="12"/>
      <c r="B301" s="13"/>
      <c r="C301" s="8"/>
      <c r="D301" s="8"/>
      <c r="E301" s="13" t="str">
        <f>IF(ISBLANK(D301), "", VLOOKUP(D301, Config!$F$6:$G$30, 2, FALSE()))</f>
        <v/>
      </c>
      <c r="F301" s="16"/>
      <c r="G301" s="30"/>
    </row>
    <row r="302" ht="15.0" customHeight="1">
      <c r="A302" s="12"/>
      <c r="B302" s="13"/>
      <c r="C302" s="8"/>
      <c r="D302" s="8"/>
      <c r="E302" s="13" t="str">
        <f>IF(ISBLANK(D302), "", VLOOKUP(D302, Config!$F$6:$G$30, 2, FALSE()))</f>
        <v/>
      </c>
      <c r="F302" s="16"/>
      <c r="G302" s="30"/>
    </row>
    <row r="303" ht="15.0" customHeight="1">
      <c r="A303" s="12"/>
      <c r="B303" s="13"/>
      <c r="C303" s="8"/>
      <c r="D303" s="8"/>
      <c r="E303" s="13" t="str">
        <f>IF(ISBLANK(D303), "", VLOOKUP(D303, Config!$F$6:$G$30, 2, FALSE()))</f>
        <v/>
      </c>
      <c r="F303" s="16"/>
      <c r="G303" s="30"/>
    </row>
    <row r="304" ht="15.0" customHeight="1">
      <c r="A304" s="12"/>
      <c r="B304" s="13"/>
      <c r="C304" s="8"/>
      <c r="D304" s="8"/>
      <c r="E304" s="13" t="str">
        <f>IF(ISBLANK(D304), "", VLOOKUP(D304, Config!$F$6:$G$30, 2, FALSE()))</f>
        <v/>
      </c>
      <c r="F304" s="16"/>
      <c r="G304" s="30"/>
    </row>
    <row r="305" ht="15.0" customHeight="1">
      <c r="A305" s="12"/>
      <c r="B305" s="13"/>
      <c r="C305" s="8"/>
      <c r="D305" s="8"/>
      <c r="E305" s="13" t="str">
        <f>IF(ISBLANK(D305), "", VLOOKUP(D305, Config!$F$6:$G$30, 2, FALSE()))</f>
        <v/>
      </c>
      <c r="F305" s="16"/>
      <c r="G305" s="30"/>
    </row>
    <row r="306" ht="15.0" customHeight="1">
      <c r="A306" s="12"/>
      <c r="B306" s="13"/>
      <c r="C306" s="8"/>
      <c r="D306" s="8"/>
      <c r="E306" s="13" t="str">
        <f>IF(ISBLANK(D306), "", VLOOKUP(D306, Config!$F$6:$G$30, 2, FALSE()))</f>
        <v/>
      </c>
      <c r="F306" s="16"/>
      <c r="G306" s="30"/>
    </row>
    <row r="307" ht="15.0" customHeight="1">
      <c r="A307" s="12"/>
      <c r="B307" s="13"/>
      <c r="C307" s="8"/>
      <c r="D307" s="8"/>
      <c r="E307" s="13" t="str">
        <f>IF(ISBLANK(D307), "", VLOOKUP(D307, Config!$F$6:$G$30, 2, FALSE()))</f>
        <v/>
      </c>
      <c r="F307" s="16"/>
      <c r="G307" s="30"/>
    </row>
    <row r="308" ht="15.0" customHeight="1">
      <c r="A308" s="12"/>
      <c r="B308" s="13"/>
      <c r="C308" s="8"/>
      <c r="D308" s="8"/>
      <c r="E308" s="13" t="str">
        <f>IF(ISBLANK(D308), "", VLOOKUP(D308, Config!$F$6:$G$30, 2, FALSE()))</f>
        <v/>
      </c>
      <c r="F308" s="16"/>
      <c r="G308" s="30"/>
    </row>
    <row r="309" ht="15.0" customHeight="1">
      <c r="A309" s="12"/>
      <c r="B309" s="13"/>
      <c r="C309" s="8"/>
      <c r="D309" s="8"/>
      <c r="E309" s="13" t="str">
        <f>IF(ISBLANK(D309), "", VLOOKUP(D309, Config!$F$6:$G$30, 2, FALSE()))</f>
        <v/>
      </c>
      <c r="F309" s="16"/>
      <c r="G309" s="30"/>
    </row>
    <row r="310" ht="15.0" customHeight="1">
      <c r="A310" s="12"/>
      <c r="B310" s="13"/>
      <c r="C310" s="8"/>
      <c r="D310" s="8"/>
      <c r="E310" s="13" t="str">
        <f>IF(ISBLANK(D310), "", VLOOKUP(D310, Config!$F$6:$G$30, 2, FALSE()))</f>
        <v/>
      </c>
      <c r="F310" s="16"/>
      <c r="G310" s="30"/>
    </row>
    <row r="311" ht="15.0" customHeight="1">
      <c r="A311" s="12"/>
      <c r="B311" s="13"/>
      <c r="C311" s="8"/>
      <c r="D311" s="8"/>
      <c r="E311" s="13" t="str">
        <f>IF(ISBLANK(D311), "", VLOOKUP(D311, Config!$F$6:$G$30, 2, FALSE()))</f>
        <v/>
      </c>
      <c r="F311" s="16"/>
      <c r="G311" s="30"/>
    </row>
    <row r="312" ht="15.0" customHeight="1">
      <c r="A312" s="12"/>
      <c r="B312" s="13"/>
      <c r="C312" s="8"/>
      <c r="D312" s="8"/>
      <c r="E312" s="13" t="str">
        <f>IF(ISBLANK(D312), "", VLOOKUP(D312, Config!$F$6:$G$30, 2, FALSE()))</f>
        <v/>
      </c>
      <c r="F312" s="16"/>
      <c r="G312" s="30"/>
    </row>
    <row r="313" ht="15.0" customHeight="1">
      <c r="A313" s="12"/>
      <c r="B313" s="13"/>
      <c r="C313" s="8"/>
      <c r="D313" s="8"/>
      <c r="E313" s="13" t="str">
        <f>IF(ISBLANK(D313), "", VLOOKUP(D313, Config!$F$6:$G$30, 2, FALSE()))</f>
        <v/>
      </c>
      <c r="F313" s="16"/>
      <c r="G313" s="30"/>
    </row>
    <row r="314" ht="15.0" customHeight="1">
      <c r="A314" s="12"/>
      <c r="B314" s="13"/>
      <c r="C314" s="8"/>
      <c r="D314" s="8"/>
      <c r="E314" s="13" t="str">
        <f>IF(ISBLANK(D314), "", VLOOKUP(D314, Config!$F$6:$G$30, 2, FALSE()))</f>
        <v/>
      </c>
      <c r="F314" s="16"/>
      <c r="G314" s="30"/>
    </row>
    <row r="315" ht="15.0" customHeight="1">
      <c r="A315" s="12"/>
      <c r="B315" s="13"/>
      <c r="C315" s="8"/>
      <c r="D315" s="8"/>
      <c r="E315" s="13" t="str">
        <f>IF(ISBLANK(D315), "", VLOOKUP(D315, Config!$F$6:$G$30, 2, FALSE()))</f>
        <v/>
      </c>
      <c r="F315" s="16"/>
      <c r="G315" s="30"/>
    </row>
    <row r="316" ht="15.0" customHeight="1">
      <c r="A316" s="12"/>
      <c r="B316" s="13"/>
      <c r="C316" s="8"/>
      <c r="D316" s="8"/>
      <c r="E316" s="13" t="str">
        <f>IF(ISBLANK(D316), "", VLOOKUP(D316, Config!$F$6:$G$30, 2, FALSE()))</f>
        <v/>
      </c>
      <c r="F316" s="16"/>
      <c r="G316" s="30"/>
    </row>
    <row r="317" ht="15.0" customHeight="1">
      <c r="A317" s="12"/>
      <c r="B317" s="13"/>
      <c r="C317" s="8"/>
      <c r="D317" s="8"/>
      <c r="E317" s="13" t="str">
        <f>IF(ISBLANK(D317), "", VLOOKUP(D317, Config!$F$6:$G$30, 2, FALSE()))</f>
        <v/>
      </c>
      <c r="F317" s="16"/>
      <c r="G317" s="30"/>
    </row>
    <row r="318" ht="15.0" customHeight="1">
      <c r="A318" s="12"/>
      <c r="B318" s="13"/>
      <c r="C318" s="8"/>
      <c r="D318" s="8"/>
      <c r="E318" s="13" t="str">
        <f>IF(ISBLANK(D318), "", VLOOKUP(D318, Config!$F$6:$G$30, 2, FALSE()))</f>
        <v/>
      </c>
      <c r="F318" s="16"/>
      <c r="G318" s="30"/>
    </row>
    <row r="319" ht="15.0" customHeight="1">
      <c r="A319" s="12"/>
      <c r="B319" s="13"/>
      <c r="C319" s="8"/>
      <c r="D319" s="8"/>
      <c r="E319" s="13" t="str">
        <f>IF(ISBLANK(D319), "", VLOOKUP(D319, Config!$F$6:$G$30, 2, FALSE()))</f>
        <v/>
      </c>
      <c r="F319" s="16"/>
      <c r="G319" s="30"/>
    </row>
    <row r="320" ht="15.0" customHeight="1">
      <c r="A320" s="12"/>
      <c r="B320" s="13"/>
      <c r="C320" s="8"/>
      <c r="D320" s="8"/>
      <c r="E320" s="13" t="str">
        <f>IF(ISBLANK(D320), "", VLOOKUP(D320, Config!$F$6:$G$30, 2, FALSE()))</f>
        <v/>
      </c>
      <c r="F320" s="16"/>
      <c r="G320" s="30"/>
    </row>
    <row r="321" ht="15.0" customHeight="1">
      <c r="A321" s="12"/>
      <c r="B321" s="13"/>
      <c r="C321" s="8"/>
      <c r="D321" s="8"/>
      <c r="E321" s="13" t="str">
        <f>IF(ISBLANK(D321), "", VLOOKUP(D321, Config!$F$6:$G$30, 2, FALSE()))</f>
        <v/>
      </c>
      <c r="F321" s="16"/>
      <c r="G321" s="30"/>
    </row>
    <row r="322" ht="15.0" customHeight="1">
      <c r="A322" s="12"/>
      <c r="B322" s="13"/>
      <c r="C322" s="8"/>
      <c r="D322" s="8"/>
      <c r="E322" s="13" t="str">
        <f>IF(ISBLANK(D322), "", VLOOKUP(D322, Config!$F$6:$G$30, 2, FALSE()))</f>
        <v/>
      </c>
      <c r="F322" s="16"/>
      <c r="G322" s="30"/>
    </row>
    <row r="323" ht="15.0" customHeight="1">
      <c r="A323" s="12"/>
      <c r="B323" s="13"/>
      <c r="C323" s="8"/>
      <c r="D323" s="8"/>
      <c r="E323" s="13" t="str">
        <f>IF(ISBLANK(D323), "", VLOOKUP(D323, Config!$F$6:$G$30, 2, FALSE()))</f>
        <v/>
      </c>
      <c r="F323" s="16"/>
      <c r="G323" s="30"/>
    </row>
    <row r="324" ht="15.0" customHeight="1">
      <c r="A324" s="12"/>
      <c r="B324" s="13"/>
      <c r="C324" s="8"/>
      <c r="D324" s="8"/>
      <c r="E324" s="13" t="str">
        <f>IF(ISBLANK(D324), "", VLOOKUP(D324, Config!$F$6:$G$30, 2, FALSE()))</f>
        <v/>
      </c>
      <c r="F324" s="16"/>
      <c r="G324" s="30"/>
    </row>
    <row r="325" ht="15.0" customHeight="1">
      <c r="A325" s="12"/>
      <c r="B325" s="13"/>
      <c r="C325" s="8"/>
      <c r="D325" s="8"/>
      <c r="E325" s="13" t="str">
        <f>IF(ISBLANK(D325), "", VLOOKUP(D325, Config!$F$6:$G$30, 2, FALSE()))</f>
        <v/>
      </c>
      <c r="F325" s="16"/>
      <c r="G325" s="30"/>
    </row>
    <row r="326" ht="15.0" customHeight="1">
      <c r="A326" s="12"/>
      <c r="B326" s="13"/>
      <c r="C326" s="8"/>
      <c r="D326" s="8"/>
      <c r="E326" s="13" t="str">
        <f>IF(ISBLANK(D326), "", VLOOKUP(D326, Config!$F$6:$G$30, 2, FALSE()))</f>
        <v/>
      </c>
      <c r="F326" s="16"/>
      <c r="G326" s="30"/>
    </row>
    <row r="327" ht="15.0" customHeight="1">
      <c r="A327" s="12"/>
      <c r="B327" s="13"/>
      <c r="C327" s="8"/>
      <c r="D327" s="8"/>
      <c r="E327" s="13" t="str">
        <f>IF(ISBLANK(D327), "", VLOOKUP(D327, Config!$F$6:$G$30, 2, FALSE()))</f>
        <v/>
      </c>
      <c r="F327" s="16"/>
      <c r="G327" s="30"/>
    </row>
    <row r="328" ht="15.0" customHeight="1">
      <c r="A328" s="12"/>
      <c r="B328" s="13"/>
      <c r="C328" s="8"/>
      <c r="D328" s="8"/>
      <c r="E328" s="13" t="str">
        <f>IF(ISBLANK(D328), "", VLOOKUP(D328, Config!$F$6:$G$30, 2, FALSE()))</f>
        <v/>
      </c>
      <c r="F328" s="16"/>
      <c r="G328" s="30"/>
    </row>
    <row r="329" ht="15.0" customHeight="1">
      <c r="A329" s="12"/>
      <c r="B329" s="13"/>
      <c r="C329" s="8"/>
      <c r="D329" s="8"/>
      <c r="E329" s="13" t="str">
        <f>IF(ISBLANK(D329), "", VLOOKUP(D329, Config!$F$6:$G$30, 2, FALSE()))</f>
        <v/>
      </c>
      <c r="F329" s="16"/>
      <c r="G329" s="30"/>
    </row>
    <row r="330" ht="15.0" customHeight="1">
      <c r="A330" s="12"/>
      <c r="B330" s="13"/>
      <c r="C330" s="8"/>
      <c r="D330" s="8"/>
      <c r="E330" s="13" t="str">
        <f>IF(ISBLANK(D330), "", VLOOKUP(D330, Config!$F$6:$G$30, 2, FALSE()))</f>
        <v/>
      </c>
      <c r="F330" s="16"/>
      <c r="G330" s="30"/>
    </row>
    <row r="331" ht="15.0" customHeight="1">
      <c r="A331" s="12"/>
      <c r="B331" s="13"/>
      <c r="C331" s="8"/>
      <c r="D331" s="8"/>
      <c r="E331" s="13" t="str">
        <f>IF(ISBLANK(D331), "", VLOOKUP(D331, Config!$F$6:$G$30, 2, FALSE()))</f>
        <v/>
      </c>
      <c r="F331" s="16"/>
      <c r="G331" s="30"/>
    </row>
    <row r="332" ht="15.0" customHeight="1">
      <c r="A332" s="12"/>
      <c r="B332" s="13"/>
      <c r="C332" s="8"/>
      <c r="D332" s="8"/>
      <c r="E332" s="13" t="str">
        <f>IF(ISBLANK(D332), "", VLOOKUP(D332, Config!$F$6:$G$30, 2, FALSE()))</f>
        <v/>
      </c>
      <c r="F332" s="16"/>
      <c r="G332" s="30"/>
    </row>
    <row r="333" ht="15.0" customHeight="1">
      <c r="A333" s="12"/>
      <c r="B333" s="13"/>
      <c r="C333" s="8"/>
      <c r="D333" s="8"/>
      <c r="E333" s="13" t="str">
        <f>IF(ISBLANK(D333), "", VLOOKUP(D333, Config!$F$6:$G$30, 2, FALSE()))</f>
        <v/>
      </c>
      <c r="F333" s="16"/>
      <c r="G333" s="30"/>
    </row>
    <row r="334" ht="15.0" customHeight="1">
      <c r="A334" s="12"/>
      <c r="B334" s="13"/>
      <c r="C334" s="8"/>
      <c r="D334" s="8"/>
      <c r="E334" s="13" t="str">
        <f>IF(ISBLANK(D334), "", VLOOKUP(D334, Config!$F$6:$G$30, 2, FALSE()))</f>
        <v/>
      </c>
      <c r="F334" s="16"/>
      <c r="G334" s="30"/>
    </row>
    <row r="335" ht="15.0" customHeight="1">
      <c r="A335" s="12"/>
      <c r="B335" s="13"/>
      <c r="C335" s="8"/>
      <c r="D335" s="8"/>
      <c r="E335" s="13" t="str">
        <f>IF(ISBLANK(D335), "", VLOOKUP(D335, Config!$F$6:$G$30, 2, FALSE()))</f>
        <v/>
      </c>
      <c r="F335" s="16"/>
      <c r="G335" s="30"/>
    </row>
    <row r="336" ht="15.0" customHeight="1">
      <c r="A336" s="12"/>
      <c r="B336" s="13"/>
      <c r="C336" s="8"/>
      <c r="D336" s="8"/>
      <c r="E336" s="13" t="str">
        <f>IF(ISBLANK(D336), "", VLOOKUP(D336, Config!$F$6:$G$30, 2, FALSE()))</f>
        <v/>
      </c>
      <c r="F336" s="16"/>
      <c r="G336" s="30"/>
    </row>
    <row r="337" ht="15.0" customHeight="1">
      <c r="A337" s="12"/>
      <c r="B337" s="13"/>
      <c r="C337" s="8"/>
      <c r="D337" s="8"/>
      <c r="E337" s="13" t="str">
        <f>IF(ISBLANK(D337), "", VLOOKUP(D337, Config!$F$6:$G$30, 2, FALSE()))</f>
        <v/>
      </c>
      <c r="F337" s="16"/>
      <c r="G337" s="30"/>
    </row>
    <row r="338" ht="15.0" customHeight="1">
      <c r="A338" s="12"/>
      <c r="B338" s="13"/>
      <c r="C338" s="8"/>
      <c r="D338" s="8"/>
      <c r="E338" s="13" t="str">
        <f>IF(ISBLANK(D338), "", VLOOKUP(D338, Config!$F$6:$G$30, 2, FALSE()))</f>
        <v/>
      </c>
      <c r="F338" s="16"/>
      <c r="G338" s="30"/>
    </row>
    <row r="339" ht="15.0" customHeight="1">
      <c r="A339" s="12"/>
      <c r="B339" s="13"/>
      <c r="C339" s="8"/>
      <c r="D339" s="8"/>
      <c r="E339" s="13" t="str">
        <f>IF(ISBLANK(D339), "", VLOOKUP(D339, Config!$F$6:$G$30, 2, FALSE()))</f>
        <v/>
      </c>
      <c r="F339" s="16"/>
      <c r="G339" s="30"/>
    </row>
    <row r="340" ht="15.0" customHeight="1">
      <c r="A340" s="12"/>
      <c r="B340" s="13"/>
      <c r="C340" s="8"/>
      <c r="D340" s="8"/>
      <c r="E340" s="13" t="str">
        <f>IF(ISBLANK(D340), "", VLOOKUP(D340, Config!$F$6:$G$30, 2, FALSE()))</f>
        <v/>
      </c>
      <c r="F340" s="16"/>
      <c r="G340" s="30"/>
    </row>
    <row r="341" ht="15.0" customHeight="1">
      <c r="A341" s="12"/>
      <c r="B341" s="13"/>
      <c r="C341" s="8"/>
      <c r="D341" s="8"/>
      <c r="E341" s="13" t="str">
        <f>IF(ISBLANK(D341), "", VLOOKUP(D341, Config!$F$6:$G$30, 2, FALSE()))</f>
        <v/>
      </c>
      <c r="F341" s="16"/>
      <c r="G341" s="30"/>
    </row>
    <row r="342" ht="15.0" customHeight="1">
      <c r="A342" s="12"/>
      <c r="B342" s="13"/>
      <c r="C342" s="8"/>
      <c r="D342" s="8"/>
      <c r="E342" s="13" t="str">
        <f>IF(ISBLANK(D342), "", VLOOKUP(D342, Config!$F$6:$G$30, 2, FALSE()))</f>
        <v/>
      </c>
      <c r="F342" s="16"/>
      <c r="G342" s="30"/>
    </row>
    <row r="343" ht="15.0" customHeight="1">
      <c r="A343" s="12"/>
      <c r="B343" s="13"/>
      <c r="C343" s="8"/>
      <c r="D343" s="8"/>
      <c r="E343" s="13" t="str">
        <f>IF(ISBLANK(D343), "", VLOOKUP(D343, Config!$F$6:$G$30, 2, FALSE()))</f>
        <v/>
      </c>
      <c r="F343" s="16"/>
      <c r="G343" s="30"/>
    </row>
    <row r="344" ht="15.0" customHeight="1">
      <c r="A344" s="12"/>
      <c r="B344" s="13"/>
      <c r="C344" s="8"/>
      <c r="D344" s="8"/>
      <c r="E344" s="13" t="str">
        <f>IF(ISBLANK(D344), "", VLOOKUP(D344, Config!$F$6:$G$30, 2, FALSE()))</f>
        <v/>
      </c>
      <c r="F344" s="16"/>
      <c r="G344" s="30"/>
    </row>
    <row r="345" ht="15.0" customHeight="1">
      <c r="A345" s="12"/>
      <c r="B345" s="13"/>
      <c r="C345" s="8"/>
      <c r="D345" s="8"/>
      <c r="E345" s="13" t="str">
        <f>IF(ISBLANK(D345), "", VLOOKUP(D345, Config!$F$6:$G$30, 2, FALSE()))</f>
        <v/>
      </c>
      <c r="F345" s="16"/>
      <c r="G345" s="30"/>
    </row>
    <row r="346" ht="15.0" customHeight="1">
      <c r="A346" s="12"/>
      <c r="B346" s="13"/>
      <c r="C346" s="8"/>
      <c r="D346" s="8"/>
      <c r="E346" s="13" t="str">
        <f>IF(ISBLANK(D346), "", VLOOKUP(D346, Config!$F$6:$G$30, 2, FALSE()))</f>
        <v/>
      </c>
      <c r="F346" s="16"/>
      <c r="G346" s="30"/>
    </row>
    <row r="347" ht="15.0" customHeight="1">
      <c r="A347" s="12"/>
      <c r="B347" s="13"/>
      <c r="C347" s="8"/>
      <c r="D347" s="8"/>
      <c r="E347" s="13" t="str">
        <f>IF(ISBLANK(D347), "", VLOOKUP(D347, Config!$F$6:$G$30, 2, FALSE()))</f>
        <v/>
      </c>
      <c r="F347" s="16"/>
      <c r="G347" s="30"/>
    </row>
    <row r="348" ht="15.0" customHeight="1">
      <c r="A348" s="12"/>
      <c r="B348" s="13"/>
      <c r="C348" s="8"/>
      <c r="D348" s="8"/>
      <c r="E348" s="13" t="str">
        <f>IF(ISBLANK(D348), "", VLOOKUP(D348, Config!$F$6:$G$30, 2, FALSE()))</f>
        <v/>
      </c>
      <c r="F348" s="16"/>
      <c r="G348" s="30"/>
    </row>
    <row r="349" ht="15.0" customHeight="1">
      <c r="A349" s="12"/>
      <c r="B349" s="13"/>
      <c r="C349" s="8"/>
      <c r="D349" s="8"/>
      <c r="E349" s="13" t="str">
        <f>IF(ISBLANK(D349), "", VLOOKUP(D349, Config!$F$6:$G$30, 2, FALSE()))</f>
        <v/>
      </c>
      <c r="F349" s="16"/>
      <c r="G349" s="30"/>
    </row>
    <row r="350" ht="15.0" customHeight="1">
      <c r="A350" s="12"/>
      <c r="B350" s="13"/>
      <c r="C350" s="8"/>
      <c r="D350" s="8"/>
      <c r="E350" s="13" t="str">
        <f>IF(ISBLANK(D350), "", VLOOKUP(D350, Config!$F$6:$G$30, 2, FALSE()))</f>
        <v/>
      </c>
      <c r="F350" s="16"/>
      <c r="G350" s="30"/>
    </row>
    <row r="351" ht="15.0" customHeight="1">
      <c r="A351" s="12"/>
      <c r="B351" s="13"/>
      <c r="C351" s="8"/>
      <c r="D351" s="8"/>
      <c r="E351" s="13" t="str">
        <f>IF(ISBLANK(D351), "", VLOOKUP(D351, Config!$F$6:$G$30, 2, FALSE()))</f>
        <v/>
      </c>
      <c r="F351" s="16"/>
      <c r="G351" s="30"/>
    </row>
    <row r="352" ht="15.0" customHeight="1">
      <c r="A352" s="12"/>
      <c r="B352" s="13"/>
      <c r="C352" s="8"/>
      <c r="D352" s="8"/>
      <c r="E352" s="13" t="str">
        <f>IF(ISBLANK(D352), "", VLOOKUP(D352, Config!$F$6:$G$30, 2, FALSE()))</f>
        <v/>
      </c>
      <c r="F352" s="16"/>
      <c r="G352" s="30"/>
    </row>
    <row r="353" ht="15.0" customHeight="1">
      <c r="A353" s="12"/>
      <c r="B353" s="13"/>
      <c r="C353" s="8"/>
      <c r="D353" s="8"/>
      <c r="E353" s="13" t="str">
        <f>IF(ISBLANK(D353), "", VLOOKUP(D353, Config!$F$6:$G$30, 2, FALSE()))</f>
        <v/>
      </c>
      <c r="F353" s="16"/>
      <c r="G353" s="30"/>
    </row>
    <row r="354" ht="15.0" customHeight="1">
      <c r="A354" s="12"/>
      <c r="B354" s="13"/>
      <c r="C354" s="8"/>
      <c r="D354" s="8"/>
      <c r="E354" s="13" t="str">
        <f>IF(ISBLANK(D354), "", VLOOKUP(D354, Config!$F$6:$G$30, 2, FALSE()))</f>
        <v/>
      </c>
      <c r="F354" s="16"/>
      <c r="G354" s="30"/>
    </row>
    <row r="355" ht="15.0" customHeight="1">
      <c r="A355" s="12"/>
      <c r="B355" s="13"/>
      <c r="C355" s="8"/>
      <c r="D355" s="8"/>
      <c r="E355" s="13" t="str">
        <f>IF(ISBLANK(D355), "", VLOOKUP(D355, Config!$F$6:$G$30, 2, FALSE()))</f>
        <v/>
      </c>
      <c r="F355" s="16"/>
      <c r="G355" s="30"/>
    </row>
    <row r="356" ht="15.0" customHeight="1">
      <c r="A356" s="12"/>
      <c r="B356" s="13"/>
      <c r="C356" s="8"/>
      <c r="D356" s="8"/>
      <c r="E356" s="13" t="str">
        <f>IF(ISBLANK(D356), "", VLOOKUP(D356, Config!$F$6:$G$30, 2, FALSE()))</f>
        <v/>
      </c>
      <c r="F356" s="16"/>
      <c r="G356" s="30"/>
    </row>
    <row r="357" ht="15.0" customHeight="1">
      <c r="A357" s="12"/>
      <c r="B357" s="13"/>
      <c r="C357" s="8"/>
      <c r="D357" s="8"/>
      <c r="E357" s="13" t="str">
        <f>IF(ISBLANK(D357), "", VLOOKUP(D357, Config!$F$6:$G$30, 2, FALSE()))</f>
        <v/>
      </c>
      <c r="F357" s="16"/>
      <c r="G357" s="30"/>
    </row>
    <row r="358" ht="15.0" customHeight="1">
      <c r="A358" s="12"/>
      <c r="B358" s="13"/>
      <c r="C358" s="8"/>
      <c r="D358" s="8"/>
      <c r="E358" s="13" t="str">
        <f>IF(ISBLANK(D358), "", VLOOKUP(D358, Config!$F$6:$G$30, 2, FALSE()))</f>
        <v/>
      </c>
      <c r="F358" s="16"/>
      <c r="G358" s="30"/>
    </row>
    <row r="359" ht="15.0" customHeight="1">
      <c r="A359" s="12"/>
      <c r="B359" s="13"/>
      <c r="C359" s="8"/>
      <c r="D359" s="8"/>
      <c r="E359" s="13" t="str">
        <f>IF(ISBLANK(D359), "", VLOOKUP(D359, Config!$F$6:$G$30, 2, FALSE()))</f>
        <v/>
      </c>
      <c r="F359" s="16"/>
      <c r="G359" s="30"/>
    </row>
    <row r="360" ht="15.0" customHeight="1">
      <c r="A360" s="12"/>
      <c r="B360" s="13"/>
      <c r="C360" s="8"/>
      <c r="D360" s="8"/>
      <c r="E360" s="13" t="str">
        <f>IF(ISBLANK(D360), "", VLOOKUP(D360, Config!$F$6:$G$30, 2, FALSE()))</f>
        <v/>
      </c>
      <c r="F360" s="16"/>
      <c r="G360" s="30"/>
    </row>
    <row r="361" ht="15.0" customHeight="1">
      <c r="A361" s="12"/>
      <c r="B361" s="13"/>
      <c r="C361" s="8"/>
      <c r="D361" s="8"/>
      <c r="E361" s="13" t="str">
        <f>IF(ISBLANK(D361), "", VLOOKUP(D361, Config!$F$6:$G$30, 2, FALSE()))</f>
        <v/>
      </c>
      <c r="F361" s="16"/>
      <c r="G361" s="30"/>
    </row>
    <row r="362" ht="15.0" customHeight="1">
      <c r="A362" s="12"/>
      <c r="B362" s="13"/>
      <c r="C362" s="8"/>
      <c r="D362" s="8"/>
      <c r="E362" s="13" t="str">
        <f>IF(ISBLANK(D362), "", VLOOKUP(D362, Config!$F$6:$G$30, 2, FALSE()))</f>
        <v/>
      </c>
      <c r="F362" s="16"/>
      <c r="G362" s="30"/>
    </row>
    <row r="363" ht="15.0" customHeight="1">
      <c r="A363" s="12"/>
      <c r="B363" s="13"/>
      <c r="C363" s="8"/>
      <c r="D363" s="8"/>
      <c r="E363" s="13" t="str">
        <f>IF(ISBLANK(D363), "", VLOOKUP(D363, Config!$F$6:$G$30, 2, FALSE()))</f>
        <v/>
      </c>
      <c r="F363" s="16"/>
      <c r="G363" s="30"/>
    </row>
    <row r="364" ht="15.0" customHeight="1">
      <c r="A364" s="12"/>
      <c r="B364" s="13"/>
      <c r="C364" s="8"/>
      <c r="D364" s="8"/>
      <c r="E364" s="13" t="str">
        <f>IF(ISBLANK(D364), "", VLOOKUP(D364, Config!$F$6:$G$30, 2, FALSE()))</f>
        <v/>
      </c>
      <c r="F364" s="16"/>
      <c r="G364" s="30"/>
    </row>
    <row r="365" ht="15.0" customHeight="1">
      <c r="A365" s="12"/>
      <c r="B365" s="13"/>
      <c r="C365" s="8"/>
      <c r="D365" s="8"/>
      <c r="E365" s="13" t="str">
        <f>IF(ISBLANK(D365), "", VLOOKUP(D365, Config!$F$6:$G$30, 2, FALSE()))</f>
        <v/>
      </c>
      <c r="F365" s="16"/>
      <c r="G365" s="30"/>
    </row>
    <row r="366" ht="15.0" customHeight="1">
      <c r="A366" s="12"/>
      <c r="B366" s="13"/>
      <c r="C366" s="8"/>
      <c r="D366" s="8"/>
      <c r="E366" s="13" t="str">
        <f>IF(ISBLANK(D366), "", VLOOKUP(D366, Config!$F$6:$G$30, 2, FALSE()))</f>
        <v/>
      </c>
      <c r="F366" s="16"/>
      <c r="G366" s="30"/>
    </row>
    <row r="367" ht="15.0" customHeight="1">
      <c r="A367" s="12"/>
      <c r="B367" s="13"/>
      <c r="C367" s="8"/>
      <c r="D367" s="8"/>
      <c r="E367" s="13" t="str">
        <f>IF(ISBLANK(D367), "", VLOOKUP(D367, Config!$F$6:$G$30, 2, FALSE()))</f>
        <v/>
      </c>
      <c r="F367" s="16"/>
      <c r="G367" s="30"/>
    </row>
    <row r="368" ht="15.0" customHeight="1">
      <c r="A368" s="12"/>
      <c r="B368" s="13"/>
      <c r="C368" s="8"/>
      <c r="D368" s="8"/>
      <c r="E368" s="13" t="str">
        <f>IF(ISBLANK(D368), "", VLOOKUP(D368, Config!$F$6:$G$30, 2, FALSE()))</f>
        <v/>
      </c>
      <c r="F368" s="16"/>
      <c r="G368" s="30"/>
    </row>
    <row r="369" ht="15.0" customHeight="1">
      <c r="A369" s="12"/>
      <c r="B369" s="13"/>
      <c r="C369" s="8"/>
      <c r="D369" s="8"/>
      <c r="E369" s="13" t="str">
        <f>IF(ISBLANK(D369), "", VLOOKUP(D369, Config!$F$6:$G$30, 2, FALSE()))</f>
        <v/>
      </c>
      <c r="F369" s="16"/>
      <c r="G369" s="30"/>
    </row>
    <row r="370" ht="15.0" customHeight="1">
      <c r="A370" s="12"/>
      <c r="B370" s="13"/>
      <c r="C370" s="8"/>
      <c r="D370" s="8"/>
      <c r="E370" s="13" t="str">
        <f>IF(ISBLANK(D370), "", VLOOKUP(D370, Config!$F$6:$G$30, 2, FALSE()))</f>
        <v/>
      </c>
      <c r="F370" s="16"/>
      <c r="G370" s="30"/>
    </row>
    <row r="371" ht="15.0" customHeight="1">
      <c r="A371" s="12"/>
      <c r="B371" s="13"/>
      <c r="C371" s="8"/>
      <c r="D371" s="8"/>
      <c r="E371" s="13" t="str">
        <f>IF(ISBLANK(D371), "", VLOOKUP(D371, Config!$F$6:$G$30, 2, FALSE()))</f>
        <v/>
      </c>
      <c r="F371" s="16"/>
      <c r="G371" s="30"/>
    </row>
    <row r="372" ht="15.0" customHeight="1">
      <c r="A372" s="12"/>
      <c r="B372" s="13"/>
      <c r="C372" s="8"/>
      <c r="D372" s="8"/>
      <c r="E372" s="13" t="str">
        <f>IF(ISBLANK(D372), "", VLOOKUP(D372, Config!$F$6:$G$30, 2, FALSE()))</f>
        <v/>
      </c>
      <c r="F372" s="16"/>
      <c r="G372" s="30"/>
    </row>
    <row r="373" ht="15.0" customHeight="1">
      <c r="A373" s="12"/>
      <c r="B373" s="13"/>
      <c r="C373" s="8"/>
      <c r="D373" s="8"/>
      <c r="E373" s="13" t="str">
        <f>IF(ISBLANK(D373), "", VLOOKUP(D373, Config!$F$6:$G$30, 2, FALSE()))</f>
        <v/>
      </c>
      <c r="F373" s="16"/>
      <c r="G373" s="30"/>
    </row>
    <row r="374" ht="15.0" customHeight="1">
      <c r="A374" s="12"/>
      <c r="B374" s="13"/>
      <c r="C374" s="8"/>
      <c r="D374" s="8"/>
      <c r="E374" s="13" t="str">
        <f>IF(ISBLANK(D374), "", VLOOKUP(D374, Config!$F$6:$G$30, 2, FALSE()))</f>
        <v/>
      </c>
      <c r="F374" s="16"/>
      <c r="G374" s="30"/>
    </row>
    <row r="375" ht="15.0" customHeight="1">
      <c r="A375" s="12"/>
      <c r="B375" s="13"/>
      <c r="C375" s="8"/>
      <c r="D375" s="8"/>
      <c r="E375" s="13" t="str">
        <f>IF(ISBLANK(D375), "", VLOOKUP(D375, Config!$F$6:$G$30, 2, FALSE()))</f>
        <v/>
      </c>
      <c r="F375" s="16"/>
      <c r="G375" s="30"/>
    </row>
    <row r="376" ht="15.0" customHeight="1">
      <c r="A376" s="12"/>
      <c r="B376" s="13"/>
      <c r="C376" s="8"/>
      <c r="D376" s="8"/>
      <c r="E376" s="13" t="str">
        <f>IF(ISBLANK(D376), "", VLOOKUP(D376, Config!$F$6:$G$30, 2, FALSE()))</f>
        <v/>
      </c>
      <c r="F376" s="16"/>
      <c r="G376" s="30"/>
    </row>
    <row r="377" ht="15.0" customHeight="1">
      <c r="A377" s="12"/>
      <c r="B377" s="13"/>
      <c r="C377" s="8"/>
      <c r="D377" s="8"/>
      <c r="E377" s="13" t="str">
        <f>IF(ISBLANK(D377), "", VLOOKUP(D377, Config!$F$6:$G$30, 2, FALSE()))</f>
        <v/>
      </c>
      <c r="F377" s="16"/>
      <c r="G377" s="30"/>
    </row>
    <row r="378" ht="15.0" customHeight="1">
      <c r="A378" s="12"/>
      <c r="B378" s="13"/>
      <c r="C378" s="8"/>
      <c r="D378" s="8"/>
      <c r="E378" s="13" t="str">
        <f>IF(ISBLANK(D378), "", VLOOKUP(D378, Config!$F$6:$G$30, 2, FALSE()))</f>
        <v/>
      </c>
      <c r="F378" s="16"/>
      <c r="G378" s="30"/>
    </row>
    <row r="379" ht="15.0" customHeight="1">
      <c r="A379" s="12"/>
      <c r="B379" s="13"/>
      <c r="C379" s="8"/>
      <c r="D379" s="8"/>
      <c r="E379" s="13" t="str">
        <f>IF(ISBLANK(D379), "", VLOOKUP(D379, Config!$F$6:$G$30, 2, FALSE()))</f>
        <v/>
      </c>
      <c r="F379" s="16"/>
      <c r="G379" s="30"/>
    </row>
    <row r="380" ht="15.0" customHeight="1">
      <c r="A380" s="12"/>
      <c r="B380" s="13"/>
      <c r="C380" s="8"/>
      <c r="D380" s="8"/>
      <c r="E380" s="13" t="str">
        <f>IF(ISBLANK(D380), "", VLOOKUP(D380, Config!$F$6:$G$30, 2, FALSE()))</f>
        <v/>
      </c>
      <c r="F380" s="16"/>
      <c r="G380" s="30"/>
    </row>
    <row r="381" ht="15.0" customHeight="1">
      <c r="A381" s="12"/>
      <c r="B381" s="13"/>
      <c r="C381" s="8"/>
      <c r="D381" s="8"/>
      <c r="E381" s="13" t="str">
        <f>IF(ISBLANK(D381), "", VLOOKUP(D381, Config!$F$6:$G$30, 2, FALSE()))</f>
        <v/>
      </c>
      <c r="F381" s="16"/>
      <c r="G381" s="30"/>
    </row>
    <row r="382" ht="15.0" customHeight="1">
      <c r="A382" s="12"/>
      <c r="B382" s="13"/>
      <c r="C382" s="8"/>
      <c r="D382" s="8"/>
      <c r="E382" s="13" t="str">
        <f>IF(ISBLANK(D382), "", VLOOKUP(D382, Config!$F$6:$G$30, 2, FALSE()))</f>
        <v/>
      </c>
      <c r="F382" s="16"/>
      <c r="G382" s="30"/>
    </row>
    <row r="383" ht="15.0" customHeight="1">
      <c r="A383" s="12"/>
      <c r="B383" s="13"/>
      <c r="C383" s="8"/>
      <c r="D383" s="8"/>
      <c r="E383" s="13" t="str">
        <f>IF(ISBLANK(D383), "", VLOOKUP(D383, Config!$F$6:$G$30, 2, FALSE()))</f>
        <v/>
      </c>
      <c r="F383" s="16"/>
      <c r="G383" s="30"/>
    </row>
    <row r="384" ht="15.0" customHeight="1">
      <c r="A384" s="12"/>
      <c r="B384" s="13"/>
      <c r="C384" s="8"/>
      <c r="D384" s="8"/>
      <c r="E384" s="13" t="str">
        <f>IF(ISBLANK(D384), "", VLOOKUP(D384, Config!$F$6:$G$30, 2, FALSE()))</f>
        <v/>
      </c>
      <c r="F384" s="16"/>
      <c r="G384" s="30"/>
    </row>
    <row r="385" ht="15.0" customHeight="1">
      <c r="A385" s="12"/>
      <c r="B385" s="13"/>
      <c r="C385" s="8"/>
      <c r="D385" s="8"/>
      <c r="E385" s="13" t="str">
        <f>IF(ISBLANK(D385), "", VLOOKUP(D385, Config!$F$6:$G$30, 2, FALSE()))</f>
        <v/>
      </c>
      <c r="F385" s="16"/>
      <c r="G385" s="30"/>
    </row>
    <row r="386" ht="15.0" customHeight="1">
      <c r="A386" s="12"/>
      <c r="B386" s="13"/>
      <c r="C386" s="8"/>
      <c r="D386" s="8"/>
      <c r="E386" s="13" t="str">
        <f>IF(ISBLANK(D386), "", VLOOKUP(D386, Config!$F$6:$G$30, 2, FALSE()))</f>
        <v/>
      </c>
      <c r="F386" s="16"/>
      <c r="G386" s="30"/>
    </row>
    <row r="387" ht="15.0" customHeight="1">
      <c r="A387" s="12"/>
      <c r="B387" s="13"/>
      <c r="C387" s="8"/>
      <c r="D387" s="8"/>
      <c r="E387" s="13" t="str">
        <f>IF(ISBLANK(D387), "", VLOOKUP(D387, Config!$F$6:$G$30, 2, FALSE()))</f>
        <v/>
      </c>
      <c r="F387" s="16"/>
      <c r="G387" s="30"/>
    </row>
    <row r="388" ht="15.0" customHeight="1">
      <c r="A388" s="12"/>
      <c r="B388" s="13"/>
      <c r="C388" s="8"/>
      <c r="D388" s="8"/>
      <c r="E388" s="13" t="str">
        <f>IF(ISBLANK(D388), "", VLOOKUP(D388, Config!$F$6:$G$30, 2, FALSE()))</f>
        <v/>
      </c>
      <c r="F388" s="16"/>
      <c r="G388" s="30"/>
    </row>
    <row r="389" ht="15.0" customHeight="1">
      <c r="A389" s="12"/>
      <c r="B389" s="13"/>
      <c r="C389" s="8"/>
      <c r="D389" s="8"/>
      <c r="E389" s="13" t="str">
        <f>IF(ISBLANK(D389), "", VLOOKUP(D389, Config!$F$6:$G$30, 2, FALSE()))</f>
        <v/>
      </c>
      <c r="F389" s="16"/>
      <c r="G389" s="30"/>
    </row>
    <row r="390" ht="15.0" customHeight="1">
      <c r="A390" s="12"/>
      <c r="B390" s="13"/>
      <c r="C390" s="8"/>
      <c r="D390" s="8"/>
      <c r="E390" s="13" t="str">
        <f>IF(ISBLANK(D390), "", VLOOKUP(D390, Config!$F$6:$G$30, 2, FALSE()))</f>
        <v/>
      </c>
      <c r="F390" s="16"/>
      <c r="G390" s="30"/>
    </row>
    <row r="391" ht="15.0" customHeight="1">
      <c r="A391" s="12"/>
      <c r="B391" s="13"/>
      <c r="C391" s="8"/>
      <c r="D391" s="8"/>
      <c r="E391" s="13" t="str">
        <f>IF(ISBLANK(D391), "", VLOOKUP(D391, Config!$F$6:$G$30, 2, FALSE()))</f>
        <v/>
      </c>
      <c r="F391" s="16"/>
      <c r="G391" s="30"/>
    </row>
    <row r="392" ht="15.0" customHeight="1">
      <c r="A392" s="12"/>
      <c r="B392" s="13"/>
      <c r="C392" s="8"/>
      <c r="D392" s="8"/>
      <c r="E392" s="13" t="str">
        <f>IF(ISBLANK(D392), "", VLOOKUP(D392, Config!$F$6:$G$30, 2, FALSE()))</f>
        <v/>
      </c>
      <c r="F392" s="16"/>
      <c r="G392" s="30"/>
    </row>
    <row r="393" ht="15.0" customHeight="1">
      <c r="A393" s="12"/>
      <c r="B393" s="13"/>
      <c r="C393" s="8"/>
      <c r="D393" s="8"/>
      <c r="E393" s="13" t="str">
        <f>IF(ISBLANK(D393), "", VLOOKUP(D393, Config!$F$6:$G$30, 2, FALSE()))</f>
        <v/>
      </c>
      <c r="F393" s="16"/>
      <c r="G393" s="30"/>
    </row>
    <row r="394" ht="15.0" customHeight="1">
      <c r="A394" s="12"/>
      <c r="B394" s="13"/>
      <c r="C394" s="8"/>
      <c r="D394" s="8"/>
      <c r="E394" s="13" t="str">
        <f>IF(ISBLANK(D394), "", VLOOKUP(D394, Config!$F$6:$G$30, 2, FALSE()))</f>
        <v/>
      </c>
      <c r="F394" s="16"/>
      <c r="G394" s="30"/>
    </row>
    <row r="395" ht="15.0" customHeight="1">
      <c r="A395" s="12"/>
      <c r="B395" s="13"/>
      <c r="C395" s="8"/>
      <c r="D395" s="8"/>
      <c r="E395" s="13" t="str">
        <f>IF(ISBLANK(D395), "", VLOOKUP(D395, Config!$F$6:$G$30, 2, FALSE()))</f>
        <v/>
      </c>
      <c r="F395" s="16"/>
      <c r="G395" s="30"/>
    </row>
    <row r="396" ht="15.0" customHeight="1">
      <c r="A396" s="12"/>
      <c r="B396" s="13"/>
      <c r="C396" s="8"/>
      <c r="D396" s="8"/>
      <c r="E396" s="13" t="str">
        <f>IF(ISBLANK(D396), "", VLOOKUP(D396, Config!$F$6:$G$30, 2, FALSE()))</f>
        <v/>
      </c>
      <c r="F396" s="16"/>
      <c r="G396" s="30"/>
    </row>
    <row r="397" ht="15.0" customHeight="1">
      <c r="A397" s="12"/>
      <c r="B397" s="13"/>
      <c r="C397" s="8"/>
      <c r="D397" s="8"/>
      <c r="E397" s="13" t="str">
        <f>IF(ISBLANK(D397), "", VLOOKUP(D397, Config!$F$6:$G$30, 2, FALSE()))</f>
        <v/>
      </c>
      <c r="F397" s="16"/>
      <c r="G397" s="30"/>
    </row>
    <row r="398" ht="15.0" customHeight="1">
      <c r="A398" s="12"/>
      <c r="B398" s="13"/>
      <c r="C398" s="8"/>
      <c r="D398" s="8"/>
      <c r="E398" s="13" t="str">
        <f>IF(ISBLANK(D398), "", VLOOKUP(D398, Config!$F$6:$G$30, 2, FALSE()))</f>
        <v/>
      </c>
      <c r="F398" s="16"/>
      <c r="G398" s="30"/>
    </row>
    <row r="399" ht="15.0" customHeight="1">
      <c r="A399" s="12"/>
      <c r="B399" s="13"/>
      <c r="C399" s="8"/>
      <c r="D399" s="8"/>
      <c r="E399" s="13" t="str">
        <f>IF(ISBLANK(D399), "", VLOOKUP(D399, Config!$F$6:$G$30, 2, FALSE()))</f>
        <v/>
      </c>
      <c r="F399" s="16"/>
      <c r="G399" s="30"/>
    </row>
    <row r="400" ht="15.0" customHeight="1">
      <c r="A400" s="12"/>
      <c r="B400" s="13"/>
      <c r="C400" s="8"/>
      <c r="D400" s="8"/>
      <c r="E400" s="13" t="str">
        <f>IF(ISBLANK(D400), "", VLOOKUP(D400, Config!$F$6:$G$30, 2, FALSE()))</f>
        <v/>
      </c>
      <c r="F400" s="16"/>
      <c r="G400" s="30"/>
    </row>
    <row r="401" ht="15.0" customHeight="1">
      <c r="A401" s="12"/>
      <c r="B401" s="13"/>
      <c r="C401" s="8"/>
      <c r="D401" s="8"/>
      <c r="E401" s="13" t="str">
        <f>IF(ISBLANK(D401), "", VLOOKUP(D401, Config!$F$6:$G$30, 2, FALSE()))</f>
        <v/>
      </c>
      <c r="F401" s="16"/>
      <c r="G401" s="30"/>
    </row>
    <row r="402" ht="15.0" customHeight="1">
      <c r="A402" s="12"/>
      <c r="B402" s="13"/>
      <c r="C402" s="8"/>
      <c r="D402" s="8"/>
      <c r="E402" s="13" t="str">
        <f>IF(ISBLANK(D402), "", VLOOKUP(D402, Config!$F$6:$G$30, 2, FALSE()))</f>
        <v/>
      </c>
      <c r="F402" s="16"/>
      <c r="G402" s="30"/>
    </row>
    <row r="403" ht="15.0" customHeight="1">
      <c r="A403" s="12"/>
      <c r="B403" s="13"/>
      <c r="C403" s="8"/>
      <c r="D403" s="8"/>
      <c r="E403" s="13" t="str">
        <f>IF(ISBLANK(D403), "", VLOOKUP(D403, Config!$F$6:$G$30, 2, FALSE()))</f>
        <v/>
      </c>
      <c r="F403" s="16"/>
      <c r="G403" s="30"/>
    </row>
    <row r="404" ht="15.0" customHeight="1">
      <c r="A404" s="12"/>
      <c r="B404" s="13"/>
      <c r="C404" s="8"/>
      <c r="D404" s="8"/>
      <c r="E404" s="13" t="str">
        <f>IF(ISBLANK(D404), "", VLOOKUP(D404, Config!$F$6:$G$30, 2, FALSE()))</f>
        <v/>
      </c>
      <c r="F404" s="16"/>
      <c r="G404" s="30"/>
    </row>
    <row r="405" ht="15.0" customHeight="1">
      <c r="A405" s="12"/>
      <c r="B405" s="13"/>
      <c r="C405" s="8"/>
      <c r="D405" s="8"/>
      <c r="E405" s="13" t="str">
        <f>IF(ISBLANK(D405), "", VLOOKUP(D405, Config!$F$6:$G$30, 2, FALSE()))</f>
        <v/>
      </c>
      <c r="F405" s="16"/>
      <c r="G405" s="30"/>
    </row>
    <row r="406" ht="15.0" customHeight="1">
      <c r="A406" s="12"/>
      <c r="B406" s="13"/>
      <c r="C406" s="8"/>
      <c r="D406" s="8"/>
      <c r="E406" s="13" t="str">
        <f>IF(ISBLANK(D406), "", VLOOKUP(D406, Config!$F$6:$G$30, 2, FALSE()))</f>
        <v/>
      </c>
      <c r="F406" s="16"/>
      <c r="G406" s="30"/>
    </row>
    <row r="407" ht="15.0" customHeight="1">
      <c r="A407" s="12"/>
      <c r="B407" s="13"/>
      <c r="C407" s="8"/>
      <c r="D407" s="8"/>
      <c r="E407" s="13" t="str">
        <f>IF(ISBLANK(D407), "", VLOOKUP(D407, Config!$F$6:$G$30, 2, FALSE()))</f>
        <v/>
      </c>
      <c r="F407" s="16"/>
      <c r="G407" s="30"/>
    </row>
    <row r="408" ht="15.0" customHeight="1">
      <c r="A408" s="12"/>
      <c r="B408" s="13"/>
      <c r="C408" s="8"/>
      <c r="D408" s="8"/>
      <c r="E408" s="13" t="str">
        <f>IF(ISBLANK(D408), "", VLOOKUP(D408, Config!$F$6:$G$30, 2, FALSE()))</f>
        <v/>
      </c>
      <c r="F408" s="16"/>
      <c r="G408" s="30"/>
    </row>
    <row r="409" ht="15.0" customHeight="1">
      <c r="A409" s="12"/>
      <c r="B409" s="13"/>
      <c r="C409" s="8"/>
      <c r="D409" s="8"/>
      <c r="E409" s="13" t="str">
        <f>IF(ISBLANK(D409), "", VLOOKUP(D409, Config!$F$6:$G$30, 2, FALSE()))</f>
        <v/>
      </c>
      <c r="F409" s="16"/>
      <c r="G409" s="30"/>
    </row>
    <row r="410" ht="15.0" customHeight="1">
      <c r="A410" s="12"/>
      <c r="B410" s="13"/>
      <c r="C410" s="8"/>
      <c r="D410" s="8"/>
      <c r="E410" s="13" t="str">
        <f>IF(ISBLANK(D410), "", VLOOKUP(D410, Config!$F$6:$G$30, 2, FALSE()))</f>
        <v/>
      </c>
      <c r="F410" s="16"/>
      <c r="G410" s="30"/>
    </row>
    <row r="411" ht="15.0" customHeight="1">
      <c r="A411" s="12"/>
      <c r="B411" s="13"/>
      <c r="C411" s="8"/>
      <c r="D411" s="8"/>
      <c r="E411" s="13" t="str">
        <f>IF(ISBLANK(D411), "", VLOOKUP(D411, Config!$F$6:$G$30, 2, FALSE()))</f>
        <v/>
      </c>
      <c r="F411" s="16"/>
      <c r="G411" s="30"/>
    </row>
    <row r="412" ht="15.0" customHeight="1">
      <c r="A412" s="12"/>
      <c r="B412" s="13"/>
      <c r="C412" s="8"/>
      <c r="D412" s="8"/>
      <c r="E412" s="13" t="str">
        <f>IF(ISBLANK(D412), "", VLOOKUP(D412, Config!$F$6:$G$30, 2, FALSE()))</f>
        <v/>
      </c>
      <c r="F412" s="16"/>
      <c r="G412" s="30"/>
    </row>
    <row r="413" ht="15.0" customHeight="1">
      <c r="A413" s="12"/>
      <c r="B413" s="13"/>
      <c r="C413" s="8"/>
      <c r="D413" s="8"/>
      <c r="E413" s="13" t="str">
        <f>IF(ISBLANK(D413), "", VLOOKUP(D413, Config!$F$6:$G$30, 2, FALSE()))</f>
        <v/>
      </c>
      <c r="F413" s="16"/>
      <c r="G413" s="30"/>
    </row>
    <row r="414" ht="15.0" customHeight="1">
      <c r="A414" s="12"/>
      <c r="B414" s="13"/>
      <c r="C414" s="8"/>
      <c r="D414" s="8"/>
      <c r="E414" s="13" t="str">
        <f>IF(ISBLANK(D414), "", VLOOKUP(D414, Config!$F$6:$G$30, 2, FALSE()))</f>
        <v/>
      </c>
      <c r="F414" s="16"/>
      <c r="G414" s="30"/>
    </row>
    <row r="415" ht="15.0" customHeight="1">
      <c r="A415" s="12"/>
      <c r="B415" s="13"/>
      <c r="C415" s="8"/>
      <c r="D415" s="8"/>
      <c r="E415" s="13" t="str">
        <f>IF(ISBLANK(D415), "", VLOOKUP(D415, Config!$F$6:$G$30, 2, FALSE()))</f>
        <v/>
      </c>
      <c r="F415" s="16"/>
      <c r="G415" s="30"/>
    </row>
    <row r="416" ht="15.0" customHeight="1">
      <c r="A416" s="12"/>
      <c r="B416" s="13"/>
      <c r="C416" s="8"/>
      <c r="D416" s="8"/>
      <c r="E416" s="13" t="str">
        <f>IF(ISBLANK(D416), "", VLOOKUP(D416, Config!$F$6:$G$30, 2, FALSE()))</f>
        <v/>
      </c>
      <c r="F416" s="16"/>
      <c r="G416" s="30"/>
    </row>
    <row r="417" ht="15.0" customHeight="1">
      <c r="A417" s="12"/>
      <c r="B417" s="13"/>
      <c r="C417" s="8"/>
      <c r="D417" s="8"/>
      <c r="E417" s="13" t="str">
        <f>IF(ISBLANK(D417), "", VLOOKUP(D417, Config!$F$6:$G$30, 2, FALSE()))</f>
        <v/>
      </c>
      <c r="F417" s="16"/>
      <c r="G417" s="30"/>
    </row>
    <row r="418" ht="15.0" customHeight="1">
      <c r="A418" s="12"/>
      <c r="B418" s="13"/>
      <c r="C418" s="8"/>
      <c r="D418" s="8"/>
      <c r="E418" s="13" t="str">
        <f>IF(ISBLANK(D418), "", VLOOKUP(D418, Config!$F$6:$G$30, 2, FALSE()))</f>
        <v/>
      </c>
      <c r="F418" s="16"/>
      <c r="G418" s="30"/>
    </row>
    <row r="419" ht="15.0" customHeight="1">
      <c r="A419" s="12"/>
      <c r="B419" s="13"/>
      <c r="C419" s="8"/>
      <c r="D419" s="8"/>
      <c r="E419" s="13" t="str">
        <f>IF(ISBLANK(D419), "", VLOOKUP(D419, Config!$F$6:$G$30, 2, FALSE()))</f>
        <v/>
      </c>
      <c r="F419" s="16"/>
      <c r="G419" s="30"/>
    </row>
    <row r="420" ht="15.0" customHeight="1">
      <c r="A420" s="12"/>
      <c r="B420" s="13"/>
      <c r="C420" s="8"/>
      <c r="D420" s="8"/>
      <c r="E420" s="13" t="str">
        <f>IF(ISBLANK(D420), "", VLOOKUP(D420, Config!$F$6:$G$30, 2, FALSE()))</f>
        <v/>
      </c>
      <c r="F420" s="16"/>
      <c r="G420" s="30"/>
    </row>
    <row r="421" ht="15.0" customHeight="1">
      <c r="A421" s="12"/>
      <c r="B421" s="13"/>
      <c r="C421" s="8"/>
      <c r="D421" s="8"/>
      <c r="E421" s="13" t="str">
        <f>IF(ISBLANK(D421), "", VLOOKUP(D421, Config!$F$6:$G$30, 2, FALSE()))</f>
        <v/>
      </c>
      <c r="F421" s="16"/>
      <c r="G421" s="30"/>
    </row>
    <row r="422" ht="15.0" customHeight="1">
      <c r="A422" s="12"/>
      <c r="B422" s="13"/>
      <c r="C422" s="8"/>
      <c r="D422" s="8"/>
      <c r="E422" s="13" t="str">
        <f>IF(ISBLANK(D422), "", VLOOKUP(D422, Config!$F$6:$G$30, 2, FALSE()))</f>
        <v/>
      </c>
      <c r="F422" s="16"/>
      <c r="G422" s="30"/>
    </row>
    <row r="423" ht="15.0" customHeight="1">
      <c r="A423" s="12"/>
      <c r="B423" s="13"/>
      <c r="C423" s="8"/>
      <c r="D423" s="8"/>
      <c r="E423" s="13" t="str">
        <f>IF(ISBLANK(D423), "", VLOOKUP(D423, Config!$F$6:$G$30, 2, FALSE()))</f>
        <v/>
      </c>
      <c r="F423" s="16"/>
      <c r="G423" s="30"/>
    </row>
    <row r="424" ht="15.0" customHeight="1">
      <c r="A424" s="12"/>
      <c r="B424" s="13"/>
      <c r="C424" s="8"/>
      <c r="D424" s="8"/>
      <c r="E424" s="13" t="str">
        <f>IF(ISBLANK(D424), "", VLOOKUP(D424, Config!$F$6:$G$30, 2, FALSE()))</f>
        <v/>
      </c>
      <c r="F424" s="16"/>
      <c r="G424" s="30"/>
    </row>
    <row r="425" ht="15.0" customHeight="1">
      <c r="A425" s="12"/>
      <c r="B425" s="13"/>
      <c r="C425" s="8"/>
      <c r="D425" s="8"/>
      <c r="E425" s="13" t="str">
        <f>IF(ISBLANK(D425), "", VLOOKUP(D425, Config!$F$6:$G$30, 2, FALSE()))</f>
        <v/>
      </c>
      <c r="F425" s="16"/>
      <c r="G425" s="30"/>
    </row>
    <row r="426" ht="15.0" customHeight="1">
      <c r="A426" s="12"/>
      <c r="B426" s="13"/>
      <c r="C426" s="8"/>
      <c r="D426" s="8"/>
      <c r="E426" s="13" t="str">
        <f>IF(ISBLANK(D426), "", VLOOKUP(D426, Config!$F$6:$G$30, 2, FALSE()))</f>
        <v/>
      </c>
      <c r="F426" s="16"/>
      <c r="G426" s="30"/>
    </row>
    <row r="427" ht="15.0" customHeight="1">
      <c r="A427" s="12"/>
      <c r="B427" s="13"/>
      <c r="C427" s="8"/>
      <c r="D427" s="8"/>
      <c r="E427" s="13" t="str">
        <f>IF(ISBLANK(D427), "", VLOOKUP(D427, Config!$F$6:$G$30, 2, FALSE()))</f>
        <v/>
      </c>
      <c r="F427" s="16"/>
      <c r="G427" s="30"/>
    </row>
    <row r="428" ht="15.0" customHeight="1">
      <c r="A428" s="12"/>
      <c r="B428" s="13"/>
      <c r="C428" s="8"/>
      <c r="D428" s="8"/>
      <c r="E428" s="13" t="str">
        <f>IF(ISBLANK(D428), "", VLOOKUP(D428, Config!$F$6:$G$30, 2, FALSE()))</f>
        <v/>
      </c>
      <c r="F428" s="16"/>
      <c r="G428" s="30"/>
    </row>
    <row r="429" ht="15.0" customHeight="1">
      <c r="A429" s="12"/>
      <c r="B429" s="13"/>
      <c r="C429" s="8"/>
      <c r="D429" s="8"/>
      <c r="E429" s="13" t="str">
        <f>IF(ISBLANK(D429), "", VLOOKUP(D429, Config!$F$6:$G$30, 2, FALSE()))</f>
        <v/>
      </c>
      <c r="F429" s="16"/>
      <c r="G429" s="30"/>
    </row>
    <row r="430" ht="15.0" customHeight="1">
      <c r="A430" s="12"/>
      <c r="B430" s="13"/>
      <c r="C430" s="8"/>
      <c r="D430" s="8"/>
      <c r="E430" s="13" t="str">
        <f>IF(ISBLANK(D430), "", VLOOKUP(D430, Config!$F$6:$G$30, 2, FALSE()))</f>
        <v/>
      </c>
      <c r="F430" s="16"/>
      <c r="G430" s="30"/>
    </row>
    <row r="431" ht="15.0" customHeight="1">
      <c r="A431" s="12"/>
      <c r="B431" s="13"/>
      <c r="C431" s="8"/>
      <c r="D431" s="8"/>
      <c r="E431" s="13" t="str">
        <f>IF(ISBLANK(D431), "", VLOOKUP(D431, Config!$F$6:$G$30, 2, FALSE()))</f>
        <v/>
      </c>
      <c r="F431" s="16"/>
      <c r="G431" s="30"/>
    </row>
    <row r="432" ht="15.0" customHeight="1">
      <c r="A432" s="12"/>
      <c r="B432" s="13"/>
      <c r="C432" s="8"/>
      <c r="D432" s="8"/>
      <c r="E432" s="13" t="str">
        <f>IF(ISBLANK(D432), "", VLOOKUP(D432, Config!$F$6:$G$30, 2, FALSE()))</f>
        <v/>
      </c>
      <c r="F432" s="16"/>
      <c r="G432" s="30"/>
    </row>
    <row r="433" ht="15.0" customHeight="1">
      <c r="A433" s="12"/>
      <c r="B433" s="13"/>
      <c r="C433" s="8"/>
      <c r="D433" s="8"/>
      <c r="E433" s="13" t="str">
        <f>IF(ISBLANK(D433), "", VLOOKUP(D433, Config!$F$6:$G$30, 2, FALSE()))</f>
        <v/>
      </c>
      <c r="F433" s="16"/>
      <c r="G433" s="30"/>
    </row>
    <row r="434" ht="15.0" customHeight="1">
      <c r="A434" s="12"/>
      <c r="B434" s="13"/>
      <c r="C434" s="8"/>
      <c r="D434" s="8"/>
      <c r="E434" s="13" t="str">
        <f>IF(ISBLANK(D434), "", VLOOKUP(D434, Config!$F$6:$G$30, 2, FALSE()))</f>
        <v/>
      </c>
      <c r="F434" s="16"/>
      <c r="G434" s="30"/>
    </row>
    <row r="435" ht="15.0" customHeight="1">
      <c r="A435" s="12"/>
      <c r="B435" s="13"/>
      <c r="C435" s="8"/>
      <c r="D435" s="8"/>
      <c r="E435" s="13" t="str">
        <f>IF(ISBLANK(D435), "", VLOOKUP(D435, Config!$F$6:$G$30, 2, FALSE()))</f>
        <v/>
      </c>
      <c r="F435" s="16"/>
      <c r="G435" s="30"/>
    </row>
    <row r="436" ht="15.0" customHeight="1">
      <c r="A436" s="12"/>
      <c r="B436" s="13"/>
      <c r="C436" s="8"/>
      <c r="D436" s="8"/>
      <c r="E436" s="13" t="str">
        <f>IF(ISBLANK(D436), "", VLOOKUP(D436, Config!$F$6:$G$30, 2, FALSE()))</f>
        <v/>
      </c>
      <c r="F436" s="16"/>
      <c r="G436" s="30"/>
    </row>
    <row r="437" ht="15.0" customHeight="1">
      <c r="A437" s="12"/>
      <c r="B437" s="13"/>
      <c r="C437" s="8"/>
      <c r="D437" s="8"/>
      <c r="E437" s="13" t="str">
        <f>IF(ISBLANK(D437), "", VLOOKUP(D437, Config!$F$6:$G$30, 2, FALSE()))</f>
        <v/>
      </c>
      <c r="F437" s="16"/>
      <c r="G437" s="30"/>
    </row>
    <row r="438" ht="15.0" customHeight="1">
      <c r="A438" s="12"/>
      <c r="B438" s="13"/>
      <c r="C438" s="8"/>
      <c r="D438" s="8"/>
      <c r="E438" s="13" t="str">
        <f>IF(ISBLANK(D438), "", VLOOKUP(D438, Config!$F$6:$G$30, 2, FALSE()))</f>
        <v/>
      </c>
      <c r="F438" s="16"/>
      <c r="G438" s="30"/>
    </row>
    <row r="439" ht="15.0" customHeight="1">
      <c r="A439" s="12"/>
      <c r="B439" s="13"/>
      <c r="C439" s="8"/>
      <c r="D439" s="8"/>
      <c r="E439" s="13" t="str">
        <f>IF(ISBLANK(D439), "", VLOOKUP(D439, Config!$F$6:$G$30, 2, FALSE()))</f>
        <v/>
      </c>
      <c r="F439" s="16"/>
      <c r="G439" s="30"/>
    </row>
    <row r="440" ht="15.0" customHeight="1">
      <c r="A440" s="12"/>
      <c r="B440" s="13"/>
      <c r="C440" s="8"/>
      <c r="D440" s="8"/>
      <c r="E440" s="13" t="str">
        <f>IF(ISBLANK(D440), "", VLOOKUP(D440, Config!$F$6:$G$30, 2, FALSE()))</f>
        <v/>
      </c>
      <c r="F440" s="16"/>
      <c r="G440" s="30"/>
    </row>
    <row r="441" ht="15.0" customHeight="1">
      <c r="A441" s="12"/>
      <c r="B441" s="13"/>
      <c r="C441" s="8"/>
      <c r="D441" s="8"/>
      <c r="E441" s="13" t="str">
        <f>IF(ISBLANK(D441), "", VLOOKUP(D441, Config!$F$6:$G$30, 2, FALSE()))</f>
        <v/>
      </c>
      <c r="F441" s="16"/>
      <c r="G441" s="30"/>
    </row>
    <row r="442" ht="15.0" customHeight="1">
      <c r="A442" s="12"/>
      <c r="B442" s="13"/>
      <c r="C442" s="8"/>
      <c r="D442" s="8"/>
      <c r="E442" s="13" t="str">
        <f>IF(ISBLANK(D442), "", VLOOKUP(D442, Config!$F$6:$G$30, 2, FALSE()))</f>
        <v/>
      </c>
      <c r="F442" s="16"/>
      <c r="G442" s="30"/>
    </row>
    <row r="443" ht="15.0" customHeight="1">
      <c r="A443" s="12"/>
      <c r="B443" s="13"/>
      <c r="C443" s="8"/>
      <c r="D443" s="8"/>
      <c r="E443" s="13" t="str">
        <f>IF(ISBLANK(D443), "", VLOOKUP(D443, Config!$F$6:$G$30, 2, FALSE()))</f>
        <v/>
      </c>
      <c r="F443" s="16"/>
      <c r="G443" s="30"/>
    </row>
    <row r="444" ht="15.0" customHeight="1">
      <c r="A444" s="12"/>
      <c r="B444" s="13"/>
      <c r="C444" s="8"/>
      <c r="D444" s="8"/>
      <c r="E444" s="13" t="str">
        <f>IF(ISBLANK(D444), "", VLOOKUP(D444, Config!$F$6:$G$30, 2, FALSE()))</f>
        <v/>
      </c>
      <c r="F444" s="16"/>
      <c r="G444" s="30"/>
    </row>
    <row r="445" ht="15.0" customHeight="1">
      <c r="A445" s="12"/>
      <c r="B445" s="13"/>
      <c r="C445" s="8"/>
      <c r="D445" s="8"/>
      <c r="E445" s="13" t="str">
        <f>IF(ISBLANK(D445), "", VLOOKUP(D445, Config!$F$6:$G$30, 2, FALSE()))</f>
        <v/>
      </c>
      <c r="F445" s="16"/>
      <c r="G445" s="30"/>
    </row>
    <row r="446" ht="15.0" customHeight="1">
      <c r="A446" s="12"/>
      <c r="B446" s="13"/>
      <c r="C446" s="8"/>
      <c r="D446" s="8"/>
      <c r="E446" s="13" t="str">
        <f>IF(ISBLANK(D446), "", VLOOKUP(D446, Config!$F$6:$G$30, 2, FALSE()))</f>
        <v/>
      </c>
      <c r="F446" s="16"/>
      <c r="G446" s="30"/>
    </row>
    <row r="447" ht="15.0" customHeight="1">
      <c r="A447" s="12"/>
      <c r="B447" s="13"/>
      <c r="C447" s="8"/>
      <c r="D447" s="8"/>
      <c r="E447" s="13" t="str">
        <f>IF(ISBLANK(D447), "", VLOOKUP(D447, Config!$F$6:$G$30, 2, FALSE()))</f>
        <v/>
      </c>
      <c r="F447" s="16"/>
      <c r="G447" s="30"/>
    </row>
    <row r="448" ht="15.0" customHeight="1">
      <c r="A448" s="12"/>
      <c r="B448" s="13"/>
      <c r="C448" s="8"/>
      <c r="D448" s="8"/>
      <c r="E448" s="13" t="str">
        <f>IF(ISBLANK(D448), "", VLOOKUP(D448, Config!$F$6:$G$30, 2, FALSE()))</f>
        <v/>
      </c>
      <c r="F448" s="16"/>
      <c r="G448" s="30"/>
    </row>
    <row r="449" ht="15.0" customHeight="1">
      <c r="A449" s="12"/>
      <c r="B449" s="13"/>
      <c r="C449" s="8"/>
      <c r="D449" s="8"/>
      <c r="E449" s="13" t="str">
        <f>IF(ISBLANK(D449), "", VLOOKUP(D449, Config!$F$6:$G$30, 2, FALSE()))</f>
        <v/>
      </c>
      <c r="F449" s="16"/>
      <c r="G449" s="30"/>
    </row>
    <row r="450" ht="15.0" customHeight="1">
      <c r="A450" s="12"/>
      <c r="B450" s="13"/>
      <c r="C450" s="8"/>
      <c r="D450" s="8"/>
      <c r="E450" s="13" t="str">
        <f>IF(ISBLANK(D450), "", VLOOKUP(D450, Config!$F$6:$G$30, 2, FALSE()))</f>
        <v/>
      </c>
      <c r="F450" s="16"/>
      <c r="G450" s="30"/>
    </row>
    <row r="451" ht="15.0" customHeight="1">
      <c r="A451" s="12"/>
      <c r="B451" s="13"/>
      <c r="C451" s="8"/>
      <c r="D451" s="8"/>
      <c r="E451" s="13" t="str">
        <f>IF(ISBLANK(D451), "", VLOOKUP(D451, Config!$F$6:$G$30, 2, FALSE()))</f>
        <v/>
      </c>
      <c r="F451" s="16"/>
      <c r="G451" s="30"/>
    </row>
    <row r="452" ht="15.0" customHeight="1">
      <c r="A452" s="12"/>
      <c r="B452" s="13"/>
      <c r="C452" s="8"/>
      <c r="D452" s="8"/>
      <c r="E452" s="13" t="str">
        <f>IF(ISBLANK(D452), "", VLOOKUP(D452, Config!$F$6:$G$30, 2, FALSE()))</f>
        <v/>
      </c>
      <c r="F452" s="16"/>
      <c r="G452" s="30"/>
    </row>
    <row r="453" ht="15.0" customHeight="1">
      <c r="A453" s="12"/>
      <c r="B453" s="13"/>
      <c r="C453" s="8"/>
      <c r="D453" s="8"/>
      <c r="E453" s="13" t="str">
        <f>IF(ISBLANK(D453), "", VLOOKUP(D453, Config!$F$6:$G$30, 2, FALSE()))</f>
        <v/>
      </c>
      <c r="F453" s="16"/>
      <c r="G453" s="30"/>
    </row>
    <row r="454" ht="15.0" customHeight="1">
      <c r="A454" s="12"/>
      <c r="B454" s="13"/>
      <c r="C454" s="8"/>
      <c r="D454" s="8"/>
      <c r="E454" s="13" t="str">
        <f>IF(ISBLANK(D454), "", VLOOKUP(D454, Config!$F$6:$G$30, 2, FALSE()))</f>
        <v/>
      </c>
      <c r="F454" s="16"/>
      <c r="G454" s="30"/>
    </row>
    <row r="455" ht="15.0" customHeight="1">
      <c r="A455" s="12"/>
      <c r="B455" s="13"/>
      <c r="C455" s="8"/>
      <c r="D455" s="8"/>
      <c r="E455" s="13" t="str">
        <f>IF(ISBLANK(D455), "", VLOOKUP(D455, Config!$F$6:$G$30, 2, FALSE()))</f>
        <v/>
      </c>
      <c r="F455" s="16"/>
      <c r="G455" s="30"/>
    </row>
    <row r="456" ht="15.0" customHeight="1">
      <c r="A456" s="12"/>
      <c r="B456" s="13"/>
      <c r="C456" s="8"/>
      <c r="D456" s="8"/>
      <c r="E456" s="13" t="str">
        <f>IF(ISBLANK(D456), "", VLOOKUP(D456, Config!$F$6:$G$30, 2, FALSE()))</f>
        <v/>
      </c>
      <c r="F456" s="16"/>
      <c r="G456" s="30"/>
    </row>
    <row r="457" ht="15.0" customHeight="1">
      <c r="A457" s="12"/>
      <c r="B457" s="13"/>
      <c r="C457" s="8"/>
      <c r="D457" s="8"/>
      <c r="E457" s="13" t="str">
        <f>IF(ISBLANK(D457), "", VLOOKUP(D457, Config!$F$6:$G$30, 2, FALSE()))</f>
        <v/>
      </c>
      <c r="F457" s="16"/>
      <c r="G457" s="30"/>
    </row>
    <row r="458" ht="15.0" customHeight="1">
      <c r="A458" s="12"/>
      <c r="B458" s="13"/>
      <c r="C458" s="8"/>
      <c r="D458" s="8"/>
      <c r="E458" s="13" t="str">
        <f>IF(ISBLANK(D458), "", VLOOKUP(D458, Config!$F$6:$G$30, 2, FALSE()))</f>
        <v/>
      </c>
      <c r="F458" s="16"/>
      <c r="G458" s="30"/>
    </row>
    <row r="459" ht="15.0" customHeight="1">
      <c r="A459" s="12"/>
      <c r="B459" s="13"/>
      <c r="C459" s="8"/>
      <c r="D459" s="8"/>
      <c r="E459" s="13" t="str">
        <f>IF(ISBLANK(D459), "", VLOOKUP(D459, Config!$F$6:$G$30, 2, FALSE()))</f>
        <v/>
      </c>
      <c r="F459" s="16"/>
      <c r="G459" s="30"/>
    </row>
    <row r="460" ht="15.0" customHeight="1">
      <c r="A460" s="12"/>
      <c r="B460" s="13"/>
      <c r="C460" s="8"/>
      <c r="D460" s="8"/>
      <c r="E460" s="13" t="str">
        <f>IF(ISBLANK(D460), "", VLOOKUP(D460, Config!$F$6:$G$30, 2, FALSE()))</f>
        <v/>
      </c>
      <c r="F460" s="16"/>
      <c r="G460" s="30"/>
    </row>
    <row r="461" ht="15.0" customHeight="1">
      <c r="A461" s="12"/>
      <c r="B461" s="13"/>
      <c r="C461" s="8"/>
      <c r="D461" s="8"/>
      <c r="E461" s="13" t="str">
        <f>IF(ISBLANK(D461), "", VLOOKUP(D461, Config!$F$6:$G$30, 2, FALSE()))</f>
        <v/>
      </c>
      <c r="F461" s="16"/>
      <c r="G461" s="30"/>
    </row>
    <row r="462" ht="15.0" customHeight="1">
      <c r="A462" s="12"/>
      <c r="B462" s="13"/>
      <c r="C462" s="8"/>
      <c r="D462" s="8"/>
      <c r="E462" s="13" t="str">
        <f>IF(ISBLANK(D462), "", VLOOKUP(D462, Config!$F$6:$G$30, 2, FALSE()))</f>
        <v/>
      </c>
      <c r="F462" s="16"/>
      <c r="G462" s="30"/>
    </row>
    <row r="463" ht="15.0" customHeight="1">
      <c r="A463" s="12"/>
      <c r="B463" s="13"/>
      <c r="C463" s="8"/>
      <c r="D463" s="8"/>
      <c r="E463" s="13" t="str">
        <f>IF(ISBLANK(D463), "", VLOOKUP(D463, Config!$F$6:$G$30, 2, FALSE()))</f>
        <v/>
      </c>
      <c r="F463" s="16"/>
      <c r="G463" s="30"/>
    </row>
    <row r="464" ht="15.0" customHeight="1">
      <c r="A464" s="12"/>
      <c r="B464" s="13"/>
      <c r="C464" s="8"/>
      <c r="D464" s="8"/>
      <c r="E464" s="13" t="str">
        <f>IF(ISBLANK(D464), "", VLOOKUP(D464, Config!$F$6:$G$30, 2, FALSE()))</f>
        <v/>
      </c>
      <c r="F464" s="16"/>
      <c r="G464" s="30"/>
    </row>
    <row r="465" ht="15.0" customHeight="1">
      <c r="A465" s="12"/>
      <c r="B465" s="13"/>
      <c r="C465" s="8"/>
      <c r="D465" s="8"/>
      <c r="E465" s="13" t="str">
        <f>IF(ISBLANK(D465), "", VLOOKUP(D465, Config!$F$6:$G$30, 2, FALSE()))</f>
        <v/>
      </c>
      <c r="F465" s="16"/>
      <c r="G465" s="30"/>
    </row>
    <row r="466" ht="15.0" customHeight="1">
      <c r="A466" s="12"/>
      <c r="B466" s="13"/>
      <c r="C466" s="8"/>
      <c r="D466" s="8"/>
      <c r="E466" s="13" t="str">
        <f>IF(ISBLANK(D466), "", VLOOKUP(D466, Config!$F$6:$G$30, 2, FALSE()))</f>
        <v/>
      </c>
      <c r="F466" s="16"/>
      <c r="G466" s="30"/>
    </row>
    <row r="467" ht="15.0" customHeight="1">
      <c r="A467" s="12"/>
      <c r="B467" s="13"/>
      <c r="C467" s="8"/>
      <c r="D467" s="8"/>
      <c r="E467" s="13" t="str">
        <f>IF(ISBLANK(D467), "", VLOOKUP(D467, Config!$F$6:$G$30, 2, FALSE()))</f>
        <v/>
      </c>
      <c r="F467" s="16"/>
      <c r="G467" s="30"/>
    </row>
    <row r="468" ht="15.0" customHeight="1">
      <c r="A468" s="12"/>
      <c r="B468" s="13"/>
      <c r="C468" s="8"/>
      <c r="D468" s="8"/>
      <c r="E468" s="13" t="str">
        <f>IF(ISBLANK(D468), "", VLOOKUP(D468, Config!$F$6:$G$30, 2, FALSE()))</f>
        <v/>
      </c>
      <c r="F468" s="16"/>
      <c r="G468" s="30"/>
    </row>
    <row r="469" ht="15.0" customHeight="1">
      <c r="A469" s="12"/>
      <c r="B469" s="13"/>
      <c r="C469" s="8"/>
      <c r="D469" s="8"/>
      <c r="E469" s="13" t="str">
        <f>IF(ISBLANK(D469), "", VLOOKUP(D469, Config!$F$6:$G$30, 2, FALSE()))</f>
        <v/>
      </c>
      <c r="F469" s="16"/>
      <c r="G469" s="30"/>
    </row>
    <row r="470" ht="15.0" customHeight="1">
      <c r="A470" s="12"/>
      <c r="B470" s="13"/>
      <c r="C470" s="8"/>
      <c r="D470" s="8"/>
      <c r="E470" s="13" t="str">
        <f>IF(ISBLANK(D470), "", VLOOKUP(D470, Config!$F$6:$G$30, 2, FALSE()))</f>
        <v/>
      </c>
      <c r="F470" s="16"/>
      <c r="G470" s="30"/>
    </row>
    <row r="471" ht="15.0" customHeight="1">
      <c r="A471" s="12"/>
      <c r="B471" s="13"/>
      <c r="C471" s="8"/>
      <c r="D471" s="8"/>
      <c r="E471" s="13" t="str">
        <f>IF(ISBLANK(D471), "", VLOOKUP(D471, Config!$F$6:$G$30, 2, FALSE()))</f>
        <v/>
      </c>
      <c r="F471" s="16"/>
      <c r="G471" s="30"/>
    </row>
    <row r="472" ht="15.0" customHeight="1">
      <c r="A472" s="12"/>
      <c r="B472" s="13"/>
      <c r="C472" s="8"/>
      <c r="D472" s="8"/>
      <c r="E472" s="13" t="str">
        <f>IF(ISBLANK(D472), "", VLOOKUP(D472, Config!$F$6:$G$30, 2, FALSE()))</f>
        <v/>
      </c>
      <c r="F472" s="16"/>
      <c r="G472" s="30"/>
    </row>
    <row r="473" ht="15.0" customHeight="1">
      <c r="A473" s="12"/>
      <c r="B473" s="13"/>
      <c r="C473" s="8"/>
      <c r="D473" s="8"/>
      <c r="E473" s="13" t="str">
        <f>IF(ISBLANK(D473), "", VLOOKUP(D473, Config!$F$6:$G$30, 2, FALSE()))</f>
        <v/>
      </c>
      <c r="F473" s="16"/>
      <c r="G473" s="30"/>
    </row>
    <row r="474" ht="15.0" customHeight="1">
      <c r="A474" s="12"/>
      <c r="B474" s="13"/>
      <c r="C474" s="8"/>
      <c r="D474" s="8"/>
      <c r="E474" s="13" t="str">
        <f>IF(ISBLANK(D474), "", VLOOKUP(D474, Config!$F$6:$G$30, 2, FALSE()))</f>
        <v/>
      </c>
      <c r="F474" s="16"/>
      <c r="G474" s="30"/>
    </row>
    <row r="475" ht="15.0" customHeight="1">
      <c r="A475" s="12"/>
      <c r="B475" s="13"/>
      <c r="C475" s="8"/>
      <c r="D475" s="8"/>
      <c r="E475" s="13" t="str">
        <f>IF(ISBLANK(D475), "", VLOOKUP(D475, Config!$F$6:$G$30, 2, FALSE()))</f>
        <v/>
      </c>
      <c r="F475" s="16"/>
      <c r="G475" s="30"/>
    </row>
    <row r="476" ht="15.0" customHeight="1">
      <c r="A476" s="12"/>
      <c r="B476" s="13"/>
      <c r="C476" s="8"/>
      <c r="D476" s="8"/>
      <c r="E476" s="13" t="str">
        <f>IF(ISBLANK(D476), "", VLOOKUP(D476, Config!$F$6:$G$30, 2, FALSE()))</f>
        <v/>
      </c>
      <c r="F476" s="16"/>
      <c r="G476" s="30"/>
    </row>
    <row r="477" ht="15.0" customHeight="1">
      <c r="A477" s="12"/>
      <c r="B477" s="13"/>
      <c r="C477" s="8"/>
      <c r="D477" s="8"/>
      <c r="E477" s="13" t="str">
        <f>IF(ISBLANK(D477), "", VLOOKUP(D477, Config!$F$6:$G$30, 2, FALSE()))</f>
        <v/>
      </c>
      <c r="F477" s="16"/>
      <c r="G477" s="30"/>
    </row>
    <row r="478" ht="15.0" customHeight="1">
      <c r="A478" s="12"/>
      <c r="B478" s="13"/>
      <c r="C478" s="8"/>
      <c r="D478" s="8"/>
      <c r="E478" s="13" t="str">
        <f>IF(ISBLANK(D478), "", VLOOKUP(D478, Config!$F$6:$G$30, 2, FALSE()))</f>
        <v/>
      </c>
      <c r="F478" s="16"/>
      <c r="G478" s="30"/>
    </row>
    <row r="479" ht="15.0" customHeight="1">
      <c r="A479" s="12"/>
      <c r="B479" s="13"/>
      <c r="C479" s="8"/>
      <c r="D479" s="8"/>
      <c r="E479" s="13" t="str">
        <f>IF(ISBLANK(D479), "", VLOOKUP(D479, Config!$F$6:$G$30, 2, FALSE()))</f>
        <v/>
      </c>
      <c r="F479" s="16"/>
      <c r="G479" s="30"/>
    </row>
    <row r="480" ht="15.0" customHeight="1">
      <c r="A480" s="12"/>
      <c r="B480" s="13"/>
      <c r="C480" s="8"/>
      <c r="D480" s="8"/>
      <c r="E480" s="13" t="str">
        <f>IF(ISBLANK(D480), "", VLOOKUP(D480, Config!$F$6:$G$30, 2, FALSE()))</f>
        <v/>
      </c>
      <c r="F480" s="16"/>
      <c r="G480" s="30"/>
    </row>
    <row r="481" ht="15.0" customHeight="1">
      <c r="A481" s="12"/>
      <c r="B481" s="13"/>
      <c r="C481" s="8"/>
      <c r="D481" s="8"/>
      <c r="E481" s="13" t="str">
        <f>IF(ISBLANK(D481), "", VLOOKUP(D481, Config!$F$6:$G$30, 2, FALSE()))</f>
        <v/>
      </c>
      <c r="F481" s="16"/>
      <c r="G481" s="30"/>
    </row>
    <row r="482" ht="15.0" customHeight="1">
      <c r="A482" s="12"/>
      <c r="B482" s="13"/>
      <c r="C482" s="8"/>
      <c r="D482" s="8"/>
      <c r="E482" s="13" t="str">
        <f>IF(ISBLANK(D482), "", VLOOKUP(D482, Config!$F$6:$G$30, 2, FALSE()))</f>
        <v/>
      </c>
      <c r="F482" s="16"/>
      <c r="G482" s="30"/>
    </row>
    <row r="483" ht="15.0" customHeight="1">
      <c r="A483" s="12"/>
      <c r="B483" s="13"/>
      <c r="C483" s="8"/>
      <c r="D483" s="8"/>
      <c r="E483" s="13" t="str">
        <f>IF(ISBLANK(D483), "", VLOOKUP(D483, Config!$F$6:$G$30, 2, FALSE()))</f>
        <v/>
      </c>
      <c r="F483" s="16"/>
      <c r="G483" s="30"/>
    </row>
    <row r="484" ht="15.0" customHeight="1">
      <c r="A484" s="12"/>
      <c r="B484" s="13"/>
      <c r="C484" s="8"/>
      <c r="D484" s="8"/>
      <c r="E484" s="13" t="str">
        <f>IF(ISBLANK(D484), "", VLOOKUP(D484, Config!$F$6:$G$30, 2, FALSE()))</f>
        <v/>
      </c>
      <c r="F484" s="16"/>
      <c r="G484" s="30"/>
    </row>
    <row r="485" ht="15.0" customHeight="1">
      <c r="A485" s="12"/>
      <c r="B485" s="13"/>
      <c r="C485" s="8"/>
      <c r="D485" s="8"/>
      <c r="E485" s="13" t="str">
        <f>IF(ISBLANK(D485), "", VLOOKUP(D485, Config!$F$6:$G$30, 2, FALSE()))</f>
        <v/>
      </c>
      <c r="F485" s="16"/>
      <c r="G485" s="30"/>
    </row>
    <row r="486" ht="15.0" customHeight="1">
      <c r="A486" s="12"/>
      <c r="B486" s="13"/>
      <c r="C486" s="8"/>
      <c r="D486" s="8"/>
      <c r="E486" s="13" t="str">
        <f>IF(ISBLANK(D486), "", VLOOKUP(D486, Config!$F$6:$G$30, 2, FALSE()))</f>
        <v/>
      </c>
      <c r="F486" s="16"/>
      <c r="G486" s="30"/>
    </row>
    <row r="487" ht="15.0" customHeight="1">
      <c r="A487" s="12"/>
      <c r="B487" s="13"/>
      <c r="C487" s="8"/>
      <c r="D487" s="8"/>
      <c r="E487" s="13" t="str">
        <f>IF(ISBLANK(D487), "", VLOOKUP(D487, Config!$F$6:$G$30, 2, FALSE()))</f>
        <v/>
      </c>
      <c r="F487" s="16"/>
      <c r="G487" s="30"/>
    </row>
    <row r="488" ht="15.0" customHeight="1">
      <c r="A488" s="12"/>
      <c r="B488" s="13"/>
      <c r="C488" s="8"/>
      <c r="D488" s="8"/>
      <c r="E488" s="13" t="str">
        <f>IF(ISBLANK(D488), "", VLOOKUP(D488, Config!$F$6:$G$30, 2, FALSE()))</f>
        <v/>
      </c>
      <c r="F488" s="16"/>
      <c r="G488" s="30"/>
    </row>
    <row r="489" ht="15.0" customHeight="1">
      <c r="A489" s="12"/>
      <c r="B489" s="13"/>
      <c r="C489" s="8"/>
      <c r="D489" s="8"/>
      <c r="E489" s="13" t="str">
        <f>IF(ISBLANK(D489), "", VLOOKUP(D489, Config!$F$6:$G$30, 2, FALSE()))</f>
        <v/>
      </c>
      <c r="F489" s="16"/>
      <c r="G489" s="30"/>
    </row>
    <row r="490" ht="15.0" customHeight="1">
      <c r="A490" s="12"/>
      <c r="B490" s="13"/>
      <c r="C490" s="8"/>
      <c r="D490" s="8"/>
      <c r="E490" s="13" t="str">
        <f>IF(ISBLANK(D490), "", VLOOKUP(D490, Config!$F$6:$G$30, 2, FALSE()))</f>
        <v/>
      </c>
      <c r="F490" s="16"/>
      <c r="G490" s="30"/>
    </row>
    <row r="491" ht="15.0" customHeight="1">
      <c r="A491" s="12"/>
      <c r="B491" s="13"/>
      <c r="C491" s="8"/>
      <c r="D491" s="8"/>
      <c r="E491" s="13" t="str">
        <f>IF(ISBLANK(D491), "", VLOOKUP(D491, Config!$F$6:$G$30, 2, FALSE()))</f>
        <v/>
      </c>
      <c r="F491" s="16"/>
      <c r="G491" s="30"/>
    </row>
    <row r="492" ht="15.0" customHeight="1">
      <c r="A492" s="12"/>
      <c r="B492" s="13"/>
      <c r="C492" s="8"/>
      <c r="D492" s="8"/>
      <c r="E492" s="13" t="str">
        <f>IF(ISBLANK(D492), "", VLOOKUP(D492, Config!$F$6:$G$30, 2, FALSE()))</f>
        <v/>
      </c>
      <c r="F492" s="16"/>
      <c r="G492" s="30"/>
    </row>
    <row r="493" ht="15.0" customHeight="1">
      <c r="A493" s="12"/>
      <c r="B493" s="13"/>
      <c r="C493" s="8"/>
      <c r="D493" s="8"/>
      <c r="E493" s="13" t="str">
        <f>IF(ISBLANK(D493), "", VLOOKUP(D493, Config!$F$6:$G$30, 2, FALSE()))</f>
        <v/>
      </c>
      <c r="F493" s="16"/>
      <c r="G493" s="30"/>
    </row>
    <row r="494" ht="15.0" customHeight="1">
      <c r="A494" s="12"/>
      <c r="B494" s="13"/>
      <c r="C494" s="8"/>
      <c r="D494" s="8"/>
      <c r="E494" s="13" t="str">
        <f>IF(ISBLANK(D494), "", VLOOKUP(D494, Config!$F$6:$G$30, 2, FALSE()))</f>
        <v/>
      </c>
      <c r="F494" s="16"/>
      <c r="G494" s="30"/>
    </row>
    <row r="495" ht="15.0" customHeight="1">
      <c r="A495" s="12"/>
      <c r="B495" s="13"/>
      <c r="C495" s="8"/>
      <c r="D495" s="8"/>
      <c r="E495" s="13" t="str">
        <f>IF(ISBLANK(D495), "", VLOOKUP(D495, Config!$F$6:$G$30, 2, FALSE()))</f>
        <v/>
      </c>
      <c r="F495" s="16"/>
      <c r="G495" s="30"/>
    </row>
    <row r="496" ht="15.0" customHeight="1">
      <c r="A496" s="12"/>
      <c r="B496" s="13"/>
      <c r="C496" s="8"/>
      <c r="D496" s="8"/>
      <c r="E496" s="13" t="str">
        <f>IF(ISBLANK(D496), "", VLOOKUP(D496, Config!$F$6:$G$30, 2, FALSE()))</f>
        <v/>
      </c>
      <c r="F496" s="16"/>
      <c r="G496" s="30"/>
    </row>
    <row r="497" ht="15.0" customHeight="1">
      <c r="A497" s="12"/>
      <c r="B497" s="13"/>
      <c r="C497" s="8"/>
      <c r="D497" s="8"/>
      <c r="E497" s="13" t="str">
        <f>IF(ISBLANK(D497), "", VLOOKUP(D497, Config!$F$6:$G$30, 2, FALSE()))</f>
        <v/>
      </c>
      <c r="F497" s="16"/>
      <c r="G497" s="30"/>
    </row>
    <row r="498" ht="15.0" customHeight="1">
      <c r="A498" s="12"/>
      <c r="B498" s="13"/>
      <c r="C498" s="8"/>
      <c r="D498" s="8"/>
      <c r="E498" s="13" t="str">
        <f>IF(ISBLANK(D498), "", VLOOKUP(D498, Config!$F$6:$G$30, 2, FALSE()))</f>
        <v/>
      </c>
      <c r="F498" s="16"/>
      <c r="G498" s="30"/>
    </row>
    <row r="499" ht="15.0" customHeight="1">
      <c r="A499" s="12"/>
      <c r="B499" s="13"/>
      <c r="C499" s="8"/>
      <c r="D499" s="8"/>
      <c r="E499" s="13" t="str">
        <f>IF(ISBLANK(D499), "", VLOOKUP(D499, Config!$F$6:$G$30, 2, FALSE()))</f>
        <v/>
      </c>
      <c r="F499" s="16"/>
      <c r="G499" s="30"/>
    </row>
    <row r="500" ht="15.0" customHeight="1">
      <c r="A500" s="12"/>
      <c r="B500" s="13"/>
      <c r="C500" s="8"/>
      <c r="D500" s="8"/>
      <c r="E500" s="13" t="str">
        <f>IF(ISBLANK(D500), "", VLOOKUP(D500, Config!$F$6:$G$30, 2, FALSE()))</f>
        <v/>
      </c>
      <c r="F500" s="16"/>
      <c r="G500" s="30"/>
    </row>
    <row r="501" ht="15.0" customHeight="1">
      <c r="A501" s="12"/>
      <c r="B501" s="13"/>
      <c r="C501" s="8"/>
      <c r="D501" s="8"/>
      <c r="E501" s="13" t="str">
        <f>IF(ISBLANK(D501), "", VLOOKUP(D501, Config!$F$6:$G$30, 2, FALSE()))</f>
        <v/>
      </c>
      <c r="F501" s="16"/>
      <c r="G501" s="30"/>
    </row>
    <row r="502" ht="15.0" customHeight="1">
      <c r="A502" s="12"/>
      <c r="B502" s="13"/>
      <c r="C502" s="8"/>
      <c r="D502" s="8"/>
      <c r="E502" s="13" t="str">
        <f>IF(ISBLANK(D502), "", VLOOKUP(D502, Config!$F$6:$G$30, 2, FALSE()))</f>
        <v/>
      </c>
      <c r="F502" s="16"/>
      <c r="G502" s="30"/>
    </row>
    <row r="503" ht="15.0" customHeight="1">
      <c r="A503" s="12"/>
      <c r="B503" s="13"/>
      <c r="C503" s="8"/>
      <c r="D503" s="8"/>
      <c r="E503" s="13" t="str">
        <f>IF(ISBLANK(D503), "", VLOOKUP(D503, Config!$F$6:$G$30, 2, FALSE()))</f>
        <v/>
      </c>
      <c r="F503" s="16"/>
      <c r="G503" s="30"/>
    </row>
    <row r="504" ht="15.0" customHeight="1">
      <c r="A504" s="12"/>
      <c r="B504" s="13"/>
      <c r="C504" s="8"/>
      <c r="D504" s="8"/>
      <c r="E504" s="13" t="str">
        <f>IF(ISBLANK(D504), "", VLOOKUP(D504, Config!$F$6:$G$30, 2, FALSE()))</f>
        <v/>
      </c>
      <c r="F504" s="16"/>
      <c r="G504" s="30"/>
    </row>
    <row r="505" ht="15.0" customHeight="1">
      <c r="A505" s="12"/>
      <c r="B505" s="13"/>
      <c r="C505" s="8"/>
      <c r="D505" s="8"/>
      <c r="E505" s="13" t="str">
        <f>IF(ISBLANK(D505), "", VLOOKUP(D505, Config!$F$6:$G$30, 2, FALSE()))</f>
        <v/>
      </c>
      <c r="F505" s="16"/>
      <c r="G505" s="30"/>
    </row>
    <row r="506" ht="15.0" customHeight="1">
      <c r="A506" s="12"/>
      <c r="B506" s="13"/>
      <c r="C506" s="8"/>
      <c r="D506" s="8"/>
      <c r="E506" s="13" t="str">
        <f>IF(ISBLANK(D506), "", VLOOKUP(D506, Config!$F$6:$G$30, 2, FALSE()))</f>
        <v/>
      </c>
      <c r="F506" s="16"/>
      <c r="G506" s="30"/>
    </row>
    <row r="507" ht="15.0" customHeight="1">
      <c r="A507" s="12"/>
      <c r="B507" s="13"/>
      <c r="C507" s="8"/>
      <c r="D507" s="8"/>
      <c r="E507" s="13" t="str">
        <f>IF(ISBLANK(D507), "", VLOOKUP(D507, Config!$F$6:$G$30, 2, FALSE()))</f>
        <v/>
      </c>
      <c r="F507" s="16"/>
      <c r="G507" s="30"/>
    </row>
    <row r="508" ht="15.0" customHeight="1">
      <c r="A508" s="12"/>
      <c r="B508" s="13"/>
      <c r="C508" s="8"/>
      <c r="D508" s="8"/>
      <c r="E508" s="13" t="str">
        <f>IF(ISBLANK(D508), "", VLOOKUP(D508, Config!$F$6:$G$30, 2, FALSE()))</f>
        <v/>
      </c>
      <c r="F508" s="16"/>
      <c r="G508" s="30"/>
    </row>
    <row r="509" ht="15.0" customHeight="1">
      <c r="A509" s="12"/>
      <c r="B509" s="13"/>
      <c r="C509" s="8"/>
      <c r="D509" s="8"/>
      <c r="E509" s="13" t="str">
        <f>IF(ISBLANK(D509), "", VLOOKUP(D509, Config!$F$6:$G$30, 2, FALSE()))</f>
        <v/>
      </c>
      <c r="F509" s="16"/>
      <c r="G509" s="30"/>
    </row>
    <row r="510" ht="15.0" customHeight="1">
      <c r="A510" s="12"/>
      <c r="B510" s="13"/>
      <c r="C510" s="8"/>
      <c r="D510" s="8"/>
      <c r="E510" s="13" t="str">
        <f>IF(ISBLANK(D510), "", VLOOKUP(D510, Config!$F$6:$G$30, 2, FALSE()))</f>
        <v/>
      </c>
      <c r="F510" s="16"/>
      <c r="G510" s="30"/>
    </row>
    <row r="511" ht="15.0" customHeight="1">
      <c r="A511" s="12"/>
      <c r="B511" s="13"/>
      <c r="C511" s="8"/>
      <c r="D511" s="8"/>
      <c r="E511" s="13" t="str">
        <f>IF(ISBLANK(D511), "", VLOOKUP(D511, Config!$F$6:$G$30, 2, FALSE()))</f>
        <v/>
      </c>
      <c r="F511" s="16"/>
      <c r="G511" s="30"/>
    </row>
    <row r="512" ht="15.0" customHeight="1">
      <c r="A512" s="12"/>
      <c r="B512" s="13"/>
      <c r="C512" s="8"/>
      <c r="D512" s="8"/>
      <c r="E512" s="13" t="str">
        <f>IF(ISBLANK(D512), "", VLOOKUP(D512, Config!$F$6:$G$30, 2, FALSE()))</f>
        <v/>
      </c>
      <c r="F512" s="16"/>
      <c r="G512" s="30"/>
    </row>
    <row r="513" ht="15.0" customHeight="1">
      <c r="A513" s="12"/>
      <c r="B513" s="13"/>
      <c r="C513" s="8"/>
      <c r="D513" s="8"/>
      <c r="E513" s="13" t="str">
        <f>IF(ISBLANK(D513), "", VLOOKUP(D513, Config!$F$6:$G$30, 2, FALSE()))</f>
        <v/>
      </c>
      <c r="F513" s="16"/>
      <c r="G513" s="30"/>
    </row>
    <row r="514" ht="15.0" customHeight="1">
      <c r="A514" s="12"/>
      <c r="B514" s="13"/>
      <c r="C514" s="8"/>
      <c r="D514" s="8"/>
      <c r="E514" s="13" t="str">
        <f>IF(ISBLANK(D514), "", VLOOKUP(D514, Config!$F$6:$G$30, 2, FALSE()))</f>
        <v/>
      </c>
      <c r="F514" s="16"/>
      <c r="G514" s="30"/>
    </row>
    <row r="515" ht="15.0" customHeight="1">
      <c r="A515" s="12"/>
      <c r="B515" s="13"/>
      <c r="C515" s="8"/>
      <c r="D515" s="8"/>
      <c r="E515" s="13" t="str">
        <f>IF(ISBLANK(D515), "", VLOOKUP(D515, Config!$F$6:$G$30, 2, FALSE()))</f>
        <v/>
      </c>
      <c r="F515" s="16"/>
      <c r="G515" s="30"/>
    </row>
    <row r="516" ht="15.0" customHeight="1">
      <c r="A516" s="12"/>
      <c r="B516" s="13"/>
      <c r="C516" s="8"/>
      <c r="D516" s="8"/>
      <c r="E516" s="13" t="str">
        <f>IF(ISBLANK(D516), "", VLOOKUP(D516, Config!$F$6:$G$30, 2, FALSE()))</f>
        <v/>
      </c>
      <c r="F516" s="16"/>
      <c r="G516" s="30"/>
    </row>
    <row r="517" ht="15.0" customHeight="1">
      <c r="A517" s="12"/>
      <c r="B517" s="13"/>
      <c r="C517" s="8"/>
      <c r="D517" s="8"/>
      <c r="E517" s="13" t="str">
        <f>IF(ISBLANK(D517), "", VLOOKUP(D517, Config!$F$6:$G$30, 2, FALSE()))</f>
        <v/>
      </c>
      <c r="F517" s="16"/>
      <c r="G517" s="30"/>
    </row>
    <row r="518" ht="15.0" customHeight="1">
      <c r="A518" s="12"/>
      <c r="B518" s="13"/>
      <c r="C518" s="8"/>
      <c r="D518" s="8"/>
      <c r="E518" s="13" t="str">
        <f>IF(ISBLANK(D518), "", VLOOKUP(D518, Config!$F$6:$G$30, 2, FALSE()))</f>
        <v/>
      </c>
      <c r="F518" s="16"/>
      <c r="G518" s="30"/>
    </row>
    <row r="519" ht="15.0" customHeight="1">
      <c r="A519" s="12"/>
      <c r="B519" s="13"/>
      <c r="C519" s="8"/>
      <c r="D519" s="8"/>
      <c r="E519" s="13" t="str">
        <f>IF(ISBLANK(D519), "", VLOOKUP(D519, Config!$F$6:$G$30, 2, FALSE()))</f>
        <v/>
      </c>
      <c r="F519" s="16"/>
      <c r="G519" s="30"/>
    </row>
    <row r="520" ht="15.0" customHeight="1">
      <c r="A520" s="12"/>
      <c r="B520" s="13"/>
      <c r="C520" s="8"/>
      <c r="D520" s="8"/>
      <c r="E520" s="13" t="str">
        <f>IF(ISBLANK(D520), "", VLOOKUP(D520, Config!$F$6:$G$30, 2, FALSE()))</f>
        <v/>
      </c>
      <c r="F520" s="16"/>
      <c r="G520" s="30"/>
    </row>
    <row r="521" ht="15.0" customHeight="1">
      <c r="A521" s="12"/>
      <c r="B521" s="13"/>
      <c r="C521" s="8"/>
      <c r="D521" s="8"/>
      <c r="E521" s="13" t="str">
        <f>IF(ISBLANK(D521), "", VLOOKUP(D521, Config!$F$6:$G$30, 2, FALSE()))</f>
        <v/>
      </c>
      <c r="F521" s="16"/>
      <c r="G521" s="30"/>
    </row>
    <row r="522" ht="15.0" customHeight="1">
      <c r="A522" s="12"/>
      <c r="B522" s="13"/>
      <c r="C522" s="8"/>
      <c r="D522" s="8"/>
      <c r="E522" s="13" t="str">
        <f>IF(ISBLANK(D522), "", VLOOKUP(D522, Config!$F$6:$G$30, 2, FALSE()))</f>
        <v/>
      </c>
      <c r="F522" s="16"/>
      <c r="G522" s="30"/>
    </row>
    <row r="523" ht="15.0" customHeight="1">
      <c r="A523" s="12"/>
      <c r="B523" s="13"/>
      <c r="C523" s="8"/>
      <c r="D523" s="8"/>
      <c r="E523" s="13" t="str">
        <f>IF(ISBLANK(D523), "", VLOOKUP(D523, Config!$F$6:$G$30, 2, FALSE()))</f>
        <v/>
      </c>
      <c r="F523" s="16"/>
      <c r="G523" s="30"/>
    </row>
    <row r="524" ht="15.0" customHeight="1">
      <c r="A524" s="12"/>
      <c r="B524" s="13"/>
      <c r="C524" s="8"/>
      <c r="D524" s="8"/>
      <c r="E524" s="13" t="str">
        <f>IF(ISBLANK(D524), "", VLOOKUP(D524, Config!$F$6:$G$30, 2, FALSE()))</f>
        <v/>
      </c>
      <c r="F524" s="16"/>
      <c r="G524" s="30"/>
    </row>
    <row r="525" ht="15.0" customHeight="1">
      <c r="A525" s="12"/>
      <c r="B525" s="13"/>
      <c r="C525" s="8"/>
      <c r="D525" s="8"/>
      <c r="E525" s="13" t="str">
        <f>IF(ISBLANK(D525), "", VLOOKUP(D525, Config!$F$6:$G$30, 2, FALSE()))</f>
        <v/>
      </c>
      <c r="F525" s="16"/>
      <c r="G525" s="30"/>
    </row>
    <row r="526" ht="15.0" customHeight="1">
      <c r="A526" s="12"/>
      <c r="B526" s="13"/>
      <c r="C526" s="8"/>
      <c r="D526" s="8"/>
      <c r="E526" s="13" t="str">
        <f>IF(ISBLANK(D526), "", VLOOKUP(D526, Config!$F$6:$G$30, 2, FALSE()))</f>
        <v/>
      </c>
      <c r="F526" s="16"/>
      <c r="G526" s="30"/>
    </row>
    <row r="527" ht="15.0" customHeight="1">
      <c r="A527" s="12"/>
      <c r="B527" s="13"/>
      <c r="C527" s="8"/>
      <c r="D527" s="8"/>
      <c r="E527" s="13" t="str">
        <f>IF(ISBLANK(D527), "", VLOOKUP(D527, Config!$F$6:$G$30, 2, FALSE()))</f>
        <v/>
      </c>
      <c r="F527" s="16"/>
      <c r="G527" s="30"/>
    </row>
    <row r="528" ht="15.0" customHeight="1">
      <c r="A528" s="12"/>
      <c r="B528" s="13"/>
      <c r="C528" s="8"/>
      <c r="D528" s="8"/>
      <c r="E528" s="13" t="str">
        <f>IF(ISBLANK(D528), "", VLOOKUP(D528, Config!$F$6:$G$30, 2, FALSE()))</f>
        <v/>
      </c>
      <c r="F528" s="16"/>
      <c r="G528" s="30"/>
    </row>
    <row r="529" ht="15.0" customHeight="1">
      <c r="A529" s="12"/>
      <c r="B529" s="13"/>
      <c r="C529" s="8"/>
      <c r="D529" s="8"/>
      <c r="E529" s="13" t="str">
        <f>IF(ISBLANK(D529), "", VLOOKUP(D529, Config!$F$6:$G$30, 2, FALSE()))</f>
        <v/>
      </c>
      <c r="F529" s="16"/>
      <c r="G529" s="30"/>
    </row>
    <row r="530" ht="15.0" customHeight="1">
      <c r="A530" s="12"/>
      <c r="B530" s="13"/>
      <c r="C530" s="8"/>
      <c r="D530" s="8"/>
      <c r="E530" s="13" t="str">
        <f>IF(ISBLANK(D530), "", VLOOKUP(D530, Config!$F$6:$G$30, 2, FALSE()))</f>
        <v/>
      </c>
      <c r="F530" s="16"/>
      <c r="G530" s="30"/>
    </row>
    <row r="531" ht="15.0" customHeight="1">
      <c r="A531" s="12"/>
      <c r="B531" s="13"/>
      <c r="C531" s="8"/>
      <c r="D531" s="8"/>
      <c r="E531" s="13" t="str">
        <f>IF(ISBLANK(D531), "", VLOOKUP(D531, Config!$F$6:$G$30, 2, FALSE()))</f>
        <v/>
      </c>
      <c r="F531" s="16"/>
      <c r="G531" s="30"/>
    </row>
    <row r="532" ht="15.0" customHeight="1">
      <c r="A532" s="12"/>
      <c r="B532" s="13"/>
      <c r="C532" s="8"/>
      <c r="D532" s="8"/>
      <c r="E532" s="13" t="str">
        <f>IF(ISBLANK(D532), "", VLOOKUP(D532, Config!$F$6:$G$30, 2, FALSE()))</f>
        <v/>
      </c>
      <c r="F532" s="16"/>
      <c r="G532" s="30"/>
    </row>
    <row r="533" ht="15.0" customHeight="1">
      <c r="A533" s="12"/>
      <c r="B533" s="13"/>
      <c r="C533" s="8"/>
      <c r="D533" s="8"/>
      <c r="E533" s="13" t="str">
        <f>IF(ISBLANK(D533), "", VLOOKUP(D533, Config!$F$6:$G$30, 2, FALSE()))</f>
        <v/>
      </c>
      <c r="F533" s="16"/>
      <c r="G533" s="30"/>
    </row>
    <row r="534" ht="15.0" customHeight="1">
      <c r="A534" s="12"/>
      <c r="B534" s="13"/>
      <c r="C534" s="8"/>
      <c r="D534" s="8"/>
      <c r="E534" s="13" t="str">
        <f>IF(ISBLANK(D534), "", VLOOKUP(D534, Config!$F$6:$G$30, 2, FALSE()))</f>
        <v/>
      </c>
      <c r="F534" s="16"/>
      <c r="G534" s="30"/>
    </row>
    <row r="535" ht="15.0" customHeight="1">
      <c r="A535" s="12"/>
      <c r="B535" s="13"/>
      <c r="C535" s="8"/>
      <c r="D535" s="8"/>
      <c r="E535" s="13" t="str">
        <f>IF(ISBLANK(D535), "", VLOOKUP(D535, Config!$F$6:$G$30, 2, FALSE()))</f>
        <v/>
      </c>
      <c r="F535" s="16"/>
      <c r="G535" s="30"/>
    </row>
    <row r="536" ht="15.0" customHeight="1">
      <c r="A536" s="12"/>
      <c r="B536" s="13"/>
      <c r="C536" s="8"/>
      <c r="D536" s="8"/>
      <c r="E536" s="13" t="str">
        <f>IF(ISBLANK(D536), "", VLOOKUP(D536, Config!$F$6:$G$30, 2, FALSE()))</f>
        <v/>
      </c>
      <c r="F536" s="16"/>
      <c r="G536" s="30"/>
    </row>
    <row r="537" ht="15.0" customHeight="1">
      <c r="A537" s="12"/>
      <c r="B537" s="13"/>
      <c r="C537" s="8"/>
      <c r="D537" s="8"/>
      <c r="E537" s="13" t="str">
        <f>IF(ISBLANK(D537), "", VLOOKUP(D537, Config!$F$6:$G$30, 2, FALSE()))</f>
        <v/>
      </c>
      <c r="F537" s="16"/>
      <c r="G537" s="30"/>
    </row>
    <row r="538" ht="15.0" customHeight="1">
      <c r="A538" s="12"/>
      <c r="B538" s="13"/>
      <c r="C538" s="8"/>
      <c r="D538" s="8"/>
      <c r="E538" s="13" t="str">
        <f>IF(ISBLANK(D538), "", VLOOKUP(D538, Config!$F$6:$G$30, 2, FALSE()))</f>
        <v/>
      </c>
      <c r="F538" s="16"/>
      <c r="G538" s="30"/>
    </row>
    <row r="539" ht="15.0" customHeight="1">
      <c r="A539" s="12"/>
      <c r="B539" s="13"/>
      <c r="C539" s="8"/>
      <c r="D539" s="8"/>
      <c r="E539" s="13" t="str">
        <f>IF(ISBLANK(D539), "", VLOOKUP(D539, Config!$F$6:$G$30, 2, FALSE()))</f>
        <v/>
      </c>
      <c r="F539" s="16"/>
      <c r="G539" s="30"/>
    </row>
    <row r="540" ht="15.0" customHeight="1">
      <c r="A540" s="12"/>
      <c r="B540" s="13"/>
      <c r="C540" s="8"/>
      <c r="D540" s="8"/>
      <c r="E540" s="13" t="str">
        <f>IF(ISBLANK(D540), "", VLOOKUP(D540, Config!$F$6:$G$30, 2, FALSE()))</f>
        <v/>
      </c>
      <c r="F540" s="16"/>
      <c r="G540" s="30"/>
    </row>
    <row r="541" ht="15.0" customHeight="1">
      <c r="A541" s="12"/>
      <c r="B541" s="13"/>
      <c r="C541" s="8"/>
      <c r="D541" s="8"/>
      <c r="E541" s="13" t="str">
        <f>IF(ISBLANK(D541), "", VLOOKUP(D541, Config!$F$6:$G$30, 2, FALSE()))</f>
        <v/>
      </c>
      <c r="F541" s="16"/>
      <c r="G541" s="30"/>
    </row>
    <row r="542" ht="15.0" customHeight="1">
      <c r="A542" s="12"/>
      <c r="B542" s="13"/>
      <c r="C542" s="8"/>
      <c r="D542" s="8"/>
      <c r="E542" s="13" t="str">
        <f>IF(ISBLANK(D542), "", VLOOKUP(D542, Config!$F$6:$G$30, 2, FALSE()))</f>
        <v/>
      </c>
      <c r="F542" s="16"/>
      <c r="G542" s="30"/>
    </row>
    <row r="543" ht="15.0" customHeight="1">
      <c r="A543" s="12"/>
      <c r="B543" s="13"/>
      <c r="C543" s="8"/>
      <c r="D543" s="8"/>
      <c r="E543" s="13" t="str">
        <f>IF(ISBLANK(D543), "", VLOOKUP(D543, Config!$F$6:$G$30, 2, FALSE()))</f>
        <v/>
      </c>
      <c r="F543" s="16"/>
      <c r="G543" s="30"/>
    </row>
    <row r="544" ht="15.0" customHeight="1">
      <c r="A544" s="12"/>
      <c r="B544" s="13"/>
      <c r="C544" s="8"/>
      <c r="D544" s="8"/>
      <c r="E544" s="13" t="str">
        <f>IF(ISBLANK(D544), "", VLOOKUP(D544, Config!$F$6:$G$30, 2, FALSE()))</f>
        <v/>
      </c>
      <c r="F544" s="16"/>
      <c r="G544" s="30"/>
    </row>
    <row r="545" ht="15.0" customHeight="1">
      <c r="A545" s="12"/>
      <c r="B545" s="13"/>
      <c r="C545" s="8"/>
      <c r="D545" s="8"/>
      <c r="E545" s="13" t="str">
        <f>IF(ISBLANK(D545), "", VLOOKUP(D545, Config!$F$6:$G$30, 2, FALSE()))</f>
        <v/>
      </c>
      <c r="F545" s="16"/>
      <c r="G545" s="30"/>
    </row>
    <row r="546" ht="15.0" customHeight="1">
      <c r="A546" s="12"/>
      <c r="B546" s="13"/>
      <c r="C546" s="8"/>
      <c r="D546" s="8"/>
      <c r="E546" s="13" t="str">
        <f>IF(ISBLANK(D546), "", VLOOKUP(D546, Config!$F$6:$G$30, 2, FALSE()))</f>
        <v/>
      </c>
      <c r="F546" s="16"/>
      <c r="G546" s="30"/>
    </row>
    <row r="547" ht="15.0" customHeight="1">
      <c r="A547" s="12"/>
      <c r="B547" s="13"/>
      <c r="C547" s="8"/>
      <c r="D547" s="8"/>
      <c r="E547" s="13" t="str">
        <f>IF(ISBLANK(D547), "", VLOOKUP(D547, Config!$F$6:$G$30, 2, FALSE()))</f>
        <v/>
      </c>
      <c r="F547" s="16"/>
      <c r="G547" s="30"/>
    </row>
    <row r="548" ht="15.0" customHeight="1">
      <c r="A548" s="12"/>
      <c r="B548" s="13"/>
      <c r="C548" s="8"/>
      <c r="D548" s="8"/>
      <c r="E548" s="13" t="str">
        <f>IF(ISBLANK(D548), "", VLOOKUP(D548, Config!$F$6:$G$30, 2, FALSE()))</f>
        <v/>
      </c>
      <c r="F548" s="16"/>
      <c r="G548" s="30"/>
    </row>
    <row r="549" ht="15.0" customHeight="1">
      <c r="A549" s="12"/>
      <c r="B549" s="13"/>
      <c r="C549" s="8"/>
      <c r="D549" s="8"/>
      <c r="E549" s="13" t="str">
        <f>IF(ISBLANK(D549), "", VLOOKUP(D549, Config!$F$6:$G$30, 2, FALSE()))</f>
        <v/>
      </c>
      <c r="F549" s="16"/>
      <c r="G549" s="30"/>
    </row>
    <row r="550" ht="15.0" customHeight="1">
      <c r="A550" s="12"/>
      <c r="B550" s="13"/>
      <c r="C550" s="8"/>
      <c r="D550" s="8"/>
      <c r="E550" s="13" t="str">
        <f>IF(ISBLANK(D550), "", VLOOKUP(D550, Config!$F$6:$G$30, 2, FALSE()))</f>
        <v/>
      </c>
      <c r="F550" s="16"/>
      <c r="G550" s="30"/>
    </row>
    <row r="551" ht="15.0" customHeight="1">
      <c r="A551" s="12"/>
      <c r="B551" s="13"/>
      <c r="C551" s="8"/>
      <c r="D551" s="8"/>
      <c r="E551" s="13" t="str">
        <f>IF(ISBLANK(D551), "", VLOOKUP(D551, Config!$F$6:$G$30, 2, FALSE()))</f>
        <v/>
      </c>
      <c r="F551" s="16"/>
      <c r="G551" s="30"/>
    </row>
    <row r="552" ht="15.0" customHeight="1">
      <c r="A552" s="12"/>
      <c r="B552" s="13"/>
      <c r="C552" s="8"/>
      <c r="D552" s="8"/>
      <c r="E552" s="13" t="str">
        <f>IF(ISBLANK(D552), "", VLOOKUP(D552, Config!$F$6:$G$30, 2, FALSE()))</f>
        <v/>
      </c>
      <c r="F552" s="16"/>
      <c r="G552" s="30"/>
    </row>
    <row r="553" ht="15.0" customHeight="1">
      <c r="A553" s="12"/>
      <c r="B553" s="13"/>
      <c r="C553" s="8"/>
      <c r="D553" s="8"/>
      <c r="E553" s="13" t="str">
        <f>IF(ISBLANK(D553), "", VLOOKUP(D553, Config!$F$6:$G$30, 2, FALSE()))</f>
        <v/>
      </c>
      <c r="F553" s="16"/>
      <c r="G553" s="30"/>
    </row>
    <row r="554" ht="15.0" customHeight="1">
      <c r="A554" s="12"/>
      <c r="B554" s="13"/>
      <c r="C554" s="8"/>
      <c r="D554" s="8"/>
      <c r="E554" s="13" t="str">
        <f>IF(ISBLANK(D554), "", VLOOKUP(D554, Config!$F$6:$G$30, 2, FALSE()))</f>
        <v/>
      </c>
      <c r="F554" s="16"/>
      <c r="G554" s="30"/>
    </row>
    <row r="555" ht="15.0" customHeight="1">
      <c r="A555" s="12"/>
      <c r="B555" s="13"/>
      <c r="C555" s="8"/>
      <c r="D555" s="8"/>
      <c r="E555" s="13" t="str">
        <f>IF(ISBLANK(D555), "", VLOOKUP(D555, Config!$F$6:$G$30, 2, FALSE()))</f>
        <v/>
      </c>
      <c r="F555" s="16"/>
      <c r="G555" s="30"/>
    </row>
    <row r="556" ht="15.0" customHeight="1">
      <c r="A556" s="12"/>
      <c r="B556" s="13"/>
      <c r="C556" s="8"/>
      <c r="D556" s="8"/>
      <c r="E556" s="13" t="str">
        <f>IF(ISBLANK(D556), "", VLOOKUP(D556, Config!$F$6:$G$30, 2, FALSE()))</f>
        <v/>
      </c>
      <c r="F556" s="16"/>
      <c r="G556" s="30"/>
    </row>
    <row r="557" ht="15.0" customHeight="1">
      <c r="A557" s="12"/>
      <c r="B557" s="13"/>
      <c r="C557" s="8"/>
      <c r="D557" s="8"/>
      <c r="E557" s="13" t="str">
        <f>IF(ISBLANK(D557), "", VLOOKUP(D557, Config!$F$6:$G$30, 2, FALSE()))</f>
        <v/>
      </c>
      <c r="F557" s="16"/>
      <c r="G557" s="30"/>
    </row>
    <row r="558" ht="15.0" customHeight="1">
      <c r="A558" s="12"/>
      <c r="B558" s="13"/>
      <c r="C558" s="8"/>
      <c r="D558" s="8"/>
      <c r="E558" s="13" t="str">
        <f>IF(ISBLANK(D558), "", VLOOKUP(D558, Config!$F$6:$G$30, 2, FALSE()))</f>
        <v/>
      </c>
      <c r="F558" s="16"/>
      <c r="G558" s="30"/>
    </row>
    <row r="559" ht="15.0" customHeight="1">
      <c r="A559" s="12"/>
      <c r="B559" s="13"/>
      <c r="C559" s="8"/>
      <c r="D559" s="8"/>
      <c r="E559" s="13" t="str">
        <f>IF(ISBLANK(D559), "", VLOOKUP(D559, Config!$F$6:$G$30, 2, FALSE()))</f>
        <v/>
      </c>
      <c r="F559" s="16"/>
      <c r="G559" s="30"/>
    </row>
    <row r="560" ht="15.0" customHeight="1">
      <c r="A560" s="12"/>
      <c r="B560" s="13"/>
      <c r="C560" s="8"/>
      <c r="D560" s="8"/>
      <c r="E560" s="13" t="str">
        <f>IF(ISBLANK(D560), "", VLOOKUP(D560, Config!$F$6:$G$30, 2, FALSE()))</f>
        <v/>
      </c>
      <c r="F560" s="16"/>
      <c r="G560" s="30"/>
    </row>
    <row r="561" ht="15.0" customHeight="1">
      <c r="A561" s="12"/>
      <c r="B561" s="13"/>
      <c r="C561" s="8"/>
      <c r="D561" s="8"/>
      <c r="E561" s="13" t="str">
        <f>IF(ISBLANK(D561), "", VLOOKUP(D561, Config!$F$6:$G$30, 2, FALSE()))</f>
        <v/>
      </c>
      <c r="F561" s="16"/>
      <c r="G561" s="30"/>
    </row>
    <row r="562" ht="15.0" customHeight="1">
      <c r="A562" s="12"/>
      <c r="B562" s="13"/>
      <c r="C562" s="8"/>
      <c r="D562" s="8"/>
      <c r="E562" s="13" t="str">
        <f>IF(ISBLANK(D562), "", VLOOKUP(D562, Config!$F$6:$G$30, 2, FALSE()))</f>
        <v/>
      </c>
      <c r="F562" s="16"/>
      <c r="G562" s="30"/>
    </row>
    <row r="563" ht="15.0" customHeight="1">
      <c r="A563" s="12"/>
      <c r="B563" s="13"/>
      <c r="C563" s="8"/>
      <c r="D563" s="8"/>
      <c r="E563" s="13" t="str">
        <f>IF(ISBLANK(D563), "", VLOOKUP(D563, Config!$F$6:$G$30, 2, FALSE()))</f>
        <v/>
      </c>
      <c r="F563" s="16"/>
      <c r="G563" s="30"/>
    </row>
    <row r="564" ht="15.0" customHeight="1">
      <c r="A564" s="12"/>
      <c r="B564" s="13"/>
      <c r="C564" s="8"/>
      <c r="D564" s="8"/>
      <c r="E564" s="13" t="str">
        <f>IF(ISBLANK(D564), "", VLOOKUP(D564, Config!$F$6:$G$30, 2, FALSE()))</f>
        <v/>
      </c>
      <c r="F564" s="16"/>
      <c r="G564" s="30"/>
    </row>
    <row r="565" ht="15.0" customHeight="1">
      <c r="A565" s="12"/>
      <c r="B565" s="13"/>
      <c r="C565" s="8"/>
      <c r="D565" s="8"/>
      <c r="E565" s="13" t="str">
        <f>IF(ISBLANK(D565), "", VLOOKUP(D565, Config!$F$6:$G$30, 2, FALSE()))</f>
        <v/>
      </c>
      <c r="F565" s="16"/>
      <c r="G565" s="30"/>
    </row>
    <row r="566" ht="15.0" customHeight="1">
      <c r="A566" s="12"/>
      <c r="B566" s="13"/>
      <c r="C566" s="8"/>
      <c r="D566" s="8"/>
      <c r="E566" s="13" t="str">
        <f>IF(ISBLANK(D566), "", VLOOKUP(D566, Config!$F$6:$G$30, 2, FALSE()))</f>
        <v/>
      </c>
      <c r="F566" s="16"/>
      <c r="G566" s="30"/>
    </row>
    <row r="567" ht="15.0" customHeight="1">
      <c r="A567" s="12"/>
      <c r="B567" s="13"/>
      <c r="C567" s="8"/>
      <c r="D567" s="8"/>
      <c r="E567" s="13" t="str">
        <f>IF(ISBLANK(D567), "", VLOOKUP(D567, Config!$F$6:$G$30, 2, FALSE()))</f>
        <v/>
      </c>
      <c r="F567" s="16"/>
      <c r="G567" s="30"/>
    </row>
    <row r="568" ht="15.0" customHeight="1">
      <c r="A568" s="12"/>
      <c r="B568" s="13"/>
      <c r="C568" s="8"/>
      <c r="D568" s="8"/>
      <c r="E568" s="13" t="str">
        <f>IF(ISBLANK(D568), "", VLOOKUP(D568, Config!$F$6:$G$30, 2, FALSE()))</f>
        <v/>
      </c>
      <c r="F568" s="16"/>
      <c r="G568" s="30"/>
    </row>
    <row r="569" ht="15.0" customHeight="1">
      <c r="A569" s="12"/>
      <c r="B569" s="13"/>
      <c r="C569" s="8"/>
      <c r="D569" s="8"/>
      <c r="E569" s="13" t="str">
        <f>IF(ISBLANK(D569), "", VLOOKUP(D569, Config!$F$6:$G$30, 2, FALSE()))</f>
        <v/>
      </c>
      <c r="F569" s="16"/>
      <c r="G569" s="30"/>
    </row>
    <row r="570" ht="15.0" customHeight="1">
      <c r="A570" s="12"/>
      <c r="B570" s="13"/>
      <c r="C570" s="8"/>
      <c r="D570" s="8"/>
      <c r="E570" s="13" t="str">
        <f>IF(ISBLANK(D570), "", VLOOKUP(D570, Config!$F$6:$G$30, 2, FALSE()))</f>
        <v/>
      </c>
      <c r="F570" s="16"/>
      <c r="G570" s="30"/>
    </row>
    <row r="571" ht="15.0" customHeight="1">
      <c r="A571" s="12"/>
      <c r="B571" s="13"/>
      <c r="C571" s="8"/>
      <c r="D571" s="8"/>
      <c r="E571" s="13" t="str">
        <f>IF(ISBLANK(D571), "", VLOOKUP(D571, Config!$F$6:$G$30, 2, FALSE()))</f>
        <v/>
      </c>
      <c r="F571" s="16"/>
      <c r="G571" s="30"/>
    </row>
    <row r="572" ht="15.0" customHeight="1">
      <c r="A572" s="12"/>
      <c r="B572" s="13"/>
      <c r="C572" s="8"/>
      <c r="D572" s="8"/>
      <c r="E572" s="13" t="str">
        <f>IF(ISBLANK(D572), "", VLOOKUP(D572, Config!$F$6:$G$30, 2, FALSE()))</f>
        <v/>
      </c>
      <c r="F572" s="16"/>
      <c r="G572" s="30"/>
    </row>
    <row r="573" ht="15.0" customHeight="1">
      <c r="A573" s="12"/>
      <c r="B573" s="13"/>
      <c r="C573" s="8"/>
      <c r="D573" s="8"/>
      <c r="E573" s="13" t="str">
        <f>IF(ISBLANK(D573), "", VLOOKUP(D573, Config!$F$6:$G$30, 2, FALSE()))</f>
        <v/>
      </c>
      <c r="F573" s="16"/>
      <c r="G573" s="30"/>
    </row>
    <row r="574" ht="15.0" customHeight="1">
      <c r="A574" s="12"/>
      <c r="B574" s="13"/>
      <c r="C574" s="8"/>
      <c r="D574" s="8"/>
      <c r="E574" s="13" t="str">
        <f>IF(ISBLANK(D574), "", VLOOKUP(D574, Config!$F$6:$G$30, 2, FALSE()))</f>
        <v/>
      </c>
      <c r="F574" s="16"/>
      <c r="G574" s="30"/>
    </row>
    <row r="575" ht="15.0" customHeight="1">
      <c r="A575" s="12"/>
      <c r="B575" s="13"/>
      <c r="C575" s="8"/>
      <c r="D575" s="8"/>
      <c r="E575" s="13" t="str">
        <f>IF(ISBLANK(D575), "", VLOOKUP(D575, Config!$F$6:$G$30, 2, FALSE()))</f>
        <v/>
      </c>
      <c r="F575" s="16"/>
      <c r="G575" s="30"/>
    </row>
    <row r="576" ht="15.0" customHeight="1">
      <c r="A576" s="12"/>
      <c r="B576" s="13"/>
      <c r="C576" s="8"/>
      <c r="D576" s="8"/>
      <c r="E576" s="13" t="str">
        <f>IF(ISBLANK(D576), "", VLOOKUP(D576, Config!$F$6:$G$30, 2, FALSE()))</f>
        <v/>
      </c>
      <c r="F576" s="16"/>
      <c r="G576" s="30"/>
    </row>
    <row r="577" ht="15.0" customHeight="1">
      <c r="A577" s="12"/>
      <c r="B577" s="13"/>
      <c r="C577" s="8"/>
      <c r="D577" s="8"/>
      <c r="E577" s="13" t="str">
        <f>IF(ISBLANK(D577), "", VLOOKUP(D577, Config!$F$6:$G$30, 2, FALSE()))</f>
        <v/>
      </c>
      <c r="F577" s="16"/>
      <c r="G577" s="30"/>
    </row>
    <row r="578" ht="15.0" customHeight="1">
      <c r="A578" s="12"/>
      <c r="B578" s="13"/>
      <c r="C578" s="8"/>
      <c r="D578" s="8"/>
      <c r="E578" s="13" t="str">
        <f>IF(ISBLANK(D578), "", VLOOKUP(D578, Config!$F$6:$G$30, 2, FALSE()))</f>
        <v/>
      </c>
      <c r="F578" s="16"/>
      <c r="G578" s="30"/>
    </row>
    <row r="579" ht="15.0" customHeight="1">
      <c r="A579" s="12"/>
      <c r="B579" s="13"/>
      <c r="C579" s="8"/>
      <c r="D579" s="8"/>
      <c r="E579" s="13" t="str">
        <f>IF(ISBLANK(D579), "", VLOOKUP(D579, Config!$F$6:$G$30, 2, FALSE()))</f>
        <v/>
      </c>
      <c r="F579" s="16"/>
      <c r="G579" s="30"/>
    </row>
    <row r="580" ht="15.0" customHeight="1">
      <c r="A580" s="12"/>
      <c r="B580" s="13"/>
      <c r="C580" s="8"/>
      <c r="D580" s="8"/>
      <c r="E580" s="13" t="str">
        <f>IF(ISBLANK(D580), "", VLOOKUP(D580, Config!$F$6:$G$30, 2, FALSE()))</f>
        <v/>
      </c>
      <c r="F580" s="16"/>
      <c r="G580" s="30"/>
    </row>
    <row r="581" ht="15.0" customHeight="1">
      <c r="A581" s="12"/>
      <c r="B581" s="13"/>
      <c r="C581" s="8"/>
      <c r="D581" s="8"/>
      <c r="E581" s="13" t="str">
        <f>IF(ISBLANK(D581), "", VLOOKUP(D581, Config!$F$6:$G$30, 2, FALSE()))</f>
        <v/>
      </c>
      <c r="F581" s="16"/>
      <c r="G581" s="30"/>
    </row>
    <row r="582" ht="15.0" customHeight="1">
      <c r="A582" s="12"/>
      <c r="B582" s="13"/>
      <c r="C582" s="8"/>
      <c r="D582" s="8"/>
      <c r="E582" s="13" t="str">
        <f>IF(ISBLANK(D582), "", VLOOKUP(D582, Config!$F$6:$G$30, 2, FALSE()))</f>
        <v/>
      </c>
      <c r="F582" s="16"/>
      <c r="G582" s="30"/>
    </row>
    <row r="583" ht="15.0" customHeight="1">
      <c r="A583" s="12"/>
      <c r="B583" s="13"/>
      <c r="C583" s="8"/>
      <c r="D583" s="8"/>
      <c r="E583" s="13" t="str">
        <f>IF(ISBLANK(D583), "", VLOOKUP(D583, Config!$F$6:$G$30, 2, FALSE()))</f>
        <v/>
      </c>
      <c r="F583" s="16"/>
      <c r="G583" s="30"/>
    </row>
    <row r="584" ht="15.0" customHeight="1">
      <c r="A584" s="12"/>
      <c r="B584" s="13"/>
      <c r="C584" s="8"/>
      <c r="D584" s="8"/>
      <c r="E584" s="13" t="str">
        <f>IF(ISBLANK(D584), "", VLOOKUP(D584, Config!$F$6:$G$30, 2, FALSE()))</f>
        <v/>
      </c>
      <c r="F584" s="16"/>
      <c r="G584" s="30"/>
    </row>
    <row r="585" ht="15.0" customHeight="1">
      <c r="A585" s="12"/>
      <c r="B585" s="13"/>
      <c r="C585" s="8"/>
      <c r="D585" s="8"/>
      <c r="E585" s="13" t="str">
        <f>IF(ISBLANK(D585), "", VLOOKUP(D585, Config!$F$6:$G$30, 2, FALSE()))</f>
        <v/>
      </c>
      <c r="F585" s="16"/>
      <c r="G585" s="30"/>
    </row>
    <row r="586" ht="15.0" customHeight="1">
      <c r="A586" s="12"/>
      <c r="B586" s="13"/>
      <c r="C586" s="8"/>
      <c r="D586" s="8"/>
      <c r="E586" s="13" t="str">
        <f>IF(ISBLANK(D586), "", VLOOKUP(D586, Config!$F$6:$G$30, 2, FALSE()))</f>
        <v/>
      </c>
      <c r="F586" s="16"/>
      <c r="G586" s="30"/>
    </row>
    <row r="587" ht="15.0" customHeight="1">
      <c r="A587" s="12"/>
      <c r="B587" s="13"/>
      <c r="C587" s="8"/>
      <c r="D587" s="8"/>
      <c r="E587" s="13" t="str">
        <f>IF(ISBLANK(D587), "", VLOOKUP(D587, Config!$F$6:$G$30, 2, FALSE()))</f>
        <v/>
      </c>
      <c r="F587" s="16"/>
      <c r="G587" s="30"/>
    </row>
    <row r="588" ht="15.0" customHeight="1">
      <c r="A588" s="12"/>
      <c r="B588" s="13"/>
      <c r="C588" s="8"/>
      <c r="D588" s="8"/>
      <c r="E588" s="13" t="str">
        <f>IF(ISBLANK(D588), "", VLOOKUP(D588, Config!$F$6:$G$30, 2, FALSE()))</f>
        <v/>
      </c>
      <c r="F588" s="16"/>
      <c r="G588" s="30"/>
    </row>
    <row r="589" ht="15.0" customHeight="1">
      <c r="A589" s="12"/>
      <c r="B589" s="13"/>
      <c r="C589" s="8"/>
      <c r="D589" s="8"/>
      <c r="E589" s="13" t="str">
        <f>IF(ISBLANK(D589), "", VLOOKUP(D589, Config!$F$6:$G$30, 2, FALSE()))</f>
        <v/>
      </c>
      <c r="F589" s="16"/>
      <c r="G589" s="30"/>
    </row>
    <row r="590" ht="15.0" customHeight="1">
      <c r="A590" s="12"/>
      <c r="B590" s="13"/>
      <c r="C590" s="8"/>
      <c r="D590" s="8"/>
      <c r="E590" s="13" t="str">
        <f>IF(ISBLANK(D590), "", VLOOKUP(D590, Config!$F$6:$G$30, 2, FALSE()))</f>
        <v/>
      </c>
      <c r="F590" s="16"/>
      <c r="G590" s="30"/>
    </row>
    <row r="591" ht="15.0" customHeight="1">
      <c r="A591" s="12"/>
      <c r="B591" s="13"/>
      <c r="C591" s="8"/>
      <c r="D591" s="8"/>
      <c r="E591" s="13" t="str">
        <f>IF(ISBLANK(D591), "", VLOOKUP(D591, Config!$F$6:$G$30, 2, FALSE()))</f>
        <v/>
      </c>
      <c r="F591" s="16"/>
      <c r="G591" s="30"/>
    </row>
    <row r="592" ht="15.0" customHeight="1">
      <c r="A592" s="12"/>
      <c r="B592" s="13"/>
      <c r="C592" s="8"/>
      <c r="D592" s="8"/>
      <c r="E592" s="13" t="str">
        <f>IF(ISBLANK(D592), "", VLOOKUP(D592, Config!$F$6:$G$30, 2, FALSE()))</f>
        <v/>
      </c>
      <c r="F592" s="16"/>
      <c r="G592" s="30"/>
    </row>
    <row r="593" ht="15.0" customHeight="1">
      <c r="A593" s="12"/>
      <c r="B593" s="13"/>
      <c r="C593" s="8"/>
      <c r="D593" s="8"/>
      <c r="E593" s="13" t="str">
        <f>IF(ISBLANK(D593), "", VLOOKUP(D593, Config!$F$6:$G$30, 2, FALSE()))</f>
        <v/>
      </c>
      <c r="F593" s="16"/>
      <c r="G593" s="30"/>
    </row>
    <row r="594" ht="15.0" customHeight="1">
      <c r="A594" s="12"/>
      <c r="B594" s="13"/>
      <c r="C594" s="8"/>
      <c r="D594" s="8"/>
      <c r="E594" s="13" t="str">
        <f>IF(ISBLANK(D594), "", VLOOKUP(D594, Config!$F$6:$G$30, 2, FALSE()))</f>
        <v/>
      </c>
      <c r="F594" s="16"/>
      <c r="G594" s="30"/>
    </row>
    <row r="595" ht="15.0" customHeight="1">
      <c r="A595" s="12"/>
      <c r="B595" s="13"/>
      <c r="C595" s="8"/>
      <c r="D595" s="8"/>
      <c r="E595" s="13" t="str">
        <f>IF(ISBLANK(D595), "", VLOOKUP(D595, Config!$F$6:$G$30, 2, FALSE()))</f>
        <v/>
      </c>
      <c r="F595" s="16"/>
      <c r="G595" s="30"/>
    </row>
    <row r="596" ht="15.0" customHeight="1">
      <c r="A596" s="12"/>
      <c r="B596" s="13"/>
      <c r="C596" s="8"/>
      <c r="D596" s="8"/>
      <c r="E596" s="13" t="str">
        <f>IF(ISBLANK(D596), "", VLOOKUP(D596, Config!$F$6:$G$30, 2, FALSE()))</f>
        <v/>
      </c>
      <c r="F596" s="16"/>
      <c r="G596" s="30"/>
    </row>
    <row r="597" ht="15.0" customHeight="1">
      <c r="A597" s="12"/>
      <c r="B597" s="13"/>
      <c r="C597" s="8"/>
      <c r="D597" s="8"/>
      <c r="E597" s="13" t="str">
        <f>IF(ISBLANK(D597), "", VLOOKUP(D597, Config!$F$6:$G$30, 2, FALSE()))</f>
        <v/>
      </c>
      <c r="F597" s="16"/>
      <c r="G597" s="30"/>
    </row>
    <row r="598" ht="15.0" customHeight="1">
      <c r="A598" s="12"/>
      <c r="B598" s="13"/>
      <c r="C598" s="8"/>
      <c r="D598" s="8"/>
      <c r="E598" s="13" t="str">
        <f>IF(ISBLANK(D598), "", VLOOKUP(D598, Config!$F$6:$G$30, 2, FALSE()))</f>
        <v/>
      </c>
      <c r="F598" s="16"/>
      <c r="G598" s="30"/>
    </row>
    <row r="599" ht="15.0" customHeight="1">
      <c r="A599" s="12"/>
      <c r="B599" s="13"/>
      <c r="C599" s="8"/>
      <c r="D599" s="8"/>
      <c r="E599" s="13" t="str">
        <f>IF(ISBLANK(D599), "", VLOOKUP(D599, Config!$F$6:$G$30, 2, FALSE()))</f>
        <v/>
      </c>
      <c r="F599" s="16"/>
      <c r="G599" s="30"/>
    </row>
    <row r="600" ht="15.0" customHeight="1">
      <c r="A600" s="12"/>
      <c r="B600" s="13"/>
      <c r="C600" s="8"/>
      <c r="D600" s="8"/>
      <c r="E600" s="13" t="str">
        <f>IF(ISBLANK(D600), "", VLOOKUP(D600, Config!$F$6:$G$30, 2, FALSE()))</f>
        <v/>
      </c>
      <c r="F600" s="16"/>
    </row>
    <row r="601" ht="15.0" customHeight="1">
      <c r="A601" s="12"/>
      <c r="B601" s="13"/>
      <c r="C601" s="8"/>
      <c r="D601" s="8"/>
      <c r="E601" s="13" t="str">
        <f>IF(ISBLANK(D601), "", VLOOKUP(D601, Config!$F$6:$G$30, 2, FALSE()))</f>
        <v/>
      </c>
      <c r="F601" s="16"/>
    </row>
    <row r="602" ht="15.0" customHeight="1">
      <c r="A602" s="12"/>
      <c r="B602" s="13"/>
      <c r="C602" s="8"/>
      <c r="D602" s="8"/>
      <c r="E602" s="13" t="str">
        <f>IF(ISBLANK(D602), "", VLOOKUP(D602, Config!$F$6:$G$30, 2, FALSE()))</f>
        <v/>
      </c>
      <c r="F602" s="16"/>
    </row>
    <row r="603" ht="15.0" customHeight="1">
      <c r="A603" s="12"/>
      <c r="B603" s="13"/>
      <c r="C603" s="8"/>
      <c r="D603" s="8"/>
      <c r="E603" s="13" t="str">
        <f>IF(ISBLANK(D603), "", VLOOKUP(D603, Config!$F$6:$G$30, 2, FALSE()))</f>
        <v/>
      </c>
      <c r="F603" s="16"/>
    </row>
    <row r="604" ht="15.0" customHeight="1">
      <c r="A604" s="12"/>
      <c r="B604" s="13"/>
      <c r="C604" s="8"/>
      <c r="D604" s="8"/>
      <c r="E604" s="13" t="str">
        <f>IF(ISBLANK(D604), "", VLOOKUP(D604, Config!$F$6:$G$30, 2, FALSE()))</f>
        <v/>
      </c>
      <c r="F604" s="16"/>
    </row>
    <row r="605" ht="15.0" customHeight="1">
      <c r="A605" s="12"/>
      <c r="B605" s="13"/>
      <c r="C605" s="8"/>
      <c r="D605" s="8"/>
      <c r="E605" s="13" t="str">
        <f>IF(ISBLANK(D605), "", VLOOKUP(D605, Config!$F$6:$G$30, 2, FALSE()))</f>
        <v/>
      </c>
      <c r="F605" s="16"/>
    </row>
    <row r="606" ht="15.0" customHeight="1">
      <c r="A606" s="12"/>
      <c r="B606" s="13"/>
      <c r="C606" s="8"/>
      <c r="D606" s="8"/>
      <c r="E606" s="13" t="str">
        <f>IF(ISBLANK(D606), "", VLOOKUP(D606, Config!$F$6:$G$30, 2, FALSE()))</f>
        <v/>
      </c>
      <c r="F606" s="16"/>
    </row>
    <row r="607" ht="15.0" customHeight="1">
      <c r="A607" s="12"/>
      <c r="B607" s="13"/>
      <c r="C607" s="8"/>
      <c r="D607" s="8"/>
      <c r="E607" s="13" t="str">
        <f>IF(ISBLANK(D607), "", VLOOKUP(D607, Config!$F$6:$G$30, 2, FALSE()))</f>
        <v/>
      </c>
      <c r="F607" s="16"/>
    </row>
    <row r="608" ht="15.0" customHeight="1">
      <c r="A608" s="12"/>
      <c r="B608" s="13"/>
      <c r="C608" s="8"/>
      <c r="D608" s="8"/>
      <c r="E608" s="13" t="str">
        <f>IF(ISBLANK(D608), "", VLOOKUP(D608, Config!$F$6:$G$30, 2, FALSE()))</f>
        <v/>
      </c>
      <c r="F608" s="16"/>
    </row>
    <row r="609" ht="15.0" customHeight="1">
      <c r="A609" s="12"/>
      <c r="B609" s="13"/>
      <c r="C609" s="8"/>
      <c r="D609" s="8"/>
      <c r="E609" s="13" t="str">
        <f>IF(ISBLANK(D609), "", VLOOKUP(D609, Config!$F$6:$G$30, 2, FALSE()))</f>
        <v/>
      </c>
      <c r="F609" s="16"/>
    </row>
    <row r="610" ht="15.0" customHeight="1">
      <c r="A610" s="12"/>
      <c r="B610" s="13"/>
      <c r="C610" s="8"/>
      <c r="D610" s="8"/>
      <c r="E610" s="13" t="str">
        <f>IF(ISBLANK(D610), "", VLOOKUP(D610, Config!$F$6:$G$30, 2, FALSE()))</f>
        <v/>
      </c>
      <c r="F610" s="16"/>
    </row>
    <row r="611" ht="15.0" customHeight="1">
      <c r="A611" s="12"/>
      <c r="B611" s="13"/>
      <c r="C611" s="8"/>
      <c r="D611" s="8"/>
      <c r="E611" s="13" t="str">
        <f>IF(ISBLANK(D611), "", VLOOKUP(D611, Config!$F$6:$G$30, 2, FALSE()))</f>
        <v/>
      </c>
      <c r="F611" s="16"/>
    </row>
    <row r="612" ht="15.0" customHeight="1">
      <c r="A612" s="12"/>
      <c r="B612" s="13"/>
      <c r="C612" s="8"/>
      <c r="D612" s="8"/>
      <c r="E612" s="13" t="str">
        <f>IF(ISBLANK(D612), "", VLOOKUP(D612, Config!$F$6:$G$30, 2, FALSE()))</f>
        <v/>
      </c>
      <c r="F612" s="16"/>
    </row>
    <row r="613" ht="15.0" customHeight="1">
      <c r="A613" s="12"/>
      <c r="B613" s="13"/>
      <c r="C613" s="8"/>
      <c r="D613" s="8"/>
      <c r="E613" s="13" t="str">
        <f>IF(ISBLANK(D613), "", VLOOKUP(D613, Config!$F$6:$G$30, 2, FALSE()))</f>
        <v/>
      </c>
      <c r="F613" s="16"/>
    </row>
    <row r="614" ht="15.0" customHeight="1">
      <c r="A614" s="12"/>
      <c r="B614" s="13"/>
      <c r="C614" s="8"/>
      <c r="D614" s="8"/>
      <c r="E614" s="13" t="str">
        <f>IF(ISBLANK(D614), "", VLOOKUP(D614, Config!$F$6:$G$30, 2, FALSE()))</f>
        <v/>
      </c>
      <c r="F614" s="16"/>
    </row>
    <row r="615" ht="15.0" customHeight="1">
      <c r="A615" s="12"/>
      <c r="B615" s="13"/>
      <c r="C615" s="8"/>
      <c r="D615" s="8"/>
      <c r="E615" s="13" t="str">
        <f>IF(ISBLANK(D615), "", VLOOKUP(D615, Config!$F$6:$G$30, 2, FALSE()))</f>
        <v/>
      </c>
      <c r="F615" s="16"/>
    </row>
    <row r="616" ht="15.0" customHeight="1">
      <c r="A616" s="12"/>
      <c r="B616" s="13"/>
      <c r="C616" s="8"/>
      <c r="D616" s="8"/>
      <c r="E616" s="13" t="str">
        <f>IF(ISBLANK(D616), "", VLOOKUP(D616, Config!$F$6:$G$30, 2, FALSE()))</f>
        <v/>
      </c>
      <c r="F616" s="16"/>
    </row>
    <row r="617" ht="15.0" customHeight="1">
      <c r="A617" s="12"/>
      <c r="B617" s="13"/>
      <c r="C617" s="8"/>
      <c r="D617" s="8"/>
      <c r="E617" s="13" t="str">
        <f>IF(ISBLANK(D617), "", VLOOKUP(D617, Config!$F$6:$G$30, 2, FALSE()))</f>
        <v/>
      </c>
      <c r="F617" s="16"/>
    </row>
    <row r="618" ht="15.0" customHeight="1">
      <c r="A618" s="12"/>
      <c r="B618" s="13"/>
      <c r="C618" s="8"/>
      <c r="D618" s="8"/>
      <c r="E618" s="13" t="str">
        <f>IF(ISBLANK(D618), "", VLOOKUP(D618, Config!$F$6:$G$30, 2, FALSE()))</f>
        <v/>
      </c>
      <c r="F618" s="16"/>
    </row>
    <row r="619" ht="15.0" customHeight="1">
      <c r="A619" s="12"/>
      <c r="B619" s="13"/>
      <c r="C619" s="8"/>
      <c r="D619" s="8"/>
      <c r="E619" s="13" t="str">
        <f>IF(ISBLANK(D619), "", VLOOKUP(D619, Config!$F$6:$G$30, 2, FALSE()))</f>
        <v/>
      </c>
      <c r="F619" s="16"/>
    </row>
    <row r="620" ht="15.0" customHeight="1">
      <c r="A620" s="12"/>
      <c r="B620" s="13"/>
      <c r="C620" s="8"/>
      <c r="D620" s="8"/>
      <c r="E620" s="13" t="str">
        <f>IF(ISBLANK(D620), "", VLOOKUP(D620, Config!$F$6:$G$30, 2, FALSE()))</f>
        <v/>
      </c>
      <c r="F620" s="16"/>
    </row>
    <row r="621" ht="15.0" customHeight="1">
      <c r="A621" s="12"/>
      <c r="B621" s="13"/>
      <c r="C621" s="8"/>
      <c r="D621" s="8"/>
      <c r="E621" s="13" t="str">
        <f>IF(ISBLANK(D621), "", VLOOKUP(D621, Config!$F$6:$G$30, 2, FALSE()))</f>
        <v/>
      </c>
      <c r="F621" s="16"/>
    </row>
    <row r="622" ht="15.0" customHeight="1">
      <c r="A622" s="12"/>
      <c r="B622" s="13"/>
      <c r="C622" s="8"/>
      <c r="D622" s="8"/>
      <c r="E622" s="13" t="str">
        <f>IF(ISBLANK(D622), "", VLOOKUP(D622, Config!$F$6:$G$30, 2, FALSE()))</f>
        <v/>
      </c>
      <c r="F622" s="16"/>
    </row>
    <row r="623" ht="15.0" customHeight="1">
      <c r="A623" s="12"/>
      <c r="B623" s="13"/>
      <c r="C623" s="8"/>
      <c r="D623" s="8"/>
      <c r="E623" s="13" t="str">
        <f>IF(ISBLANK(D623), "", VLOOKUP(D623, Config!$F$6:$G$30, 2, FALSE()))</f>
        <v/>
      </c>
      <c r="F623" s="16"/>
    </row>
    <row r="624" ht="15.0" customHeight="1">
      <c r="A624" s="12"/>
      <c r="B624" s="13"/>
      <c r="C624" s="8"/>
      <c r="D624" s="8"/>
      <c r="E624" s="13" t="str">
        <f>IF(ISBLANK(D624), "", VLOOKUP(D624, Config!$F$6:$G$30, 2, FALSE()))</f>
        <v/>
      </c>
      <c r="F624" s="16"/>
    </row>
    <row r="625" ht="15.0" customHeight="1">
      <c r="A625" s="12"/>
      <c r="B625" s="13"/>
      <c r="C625" s="8"/>
      <c r="D625" s="8"/>
      <c r="E625" s="13" t="str">
        <f>IF(ISBLANK(D625), "", VLOOKUP(D625, Config!$F$6:$G$30, 2, FALSE()))</f>
        <v/>
      </c>
      <c r="F625" s="16"/>
    </row>
    <row r="626" ht="15.0" customHeight="1">
      <c r="A626" s="12"/>
      <c r="B626" s="13"/>
      <c r="C626" s="8"/>
      <c r="D626" s="8"/>
      <c r="E626" s="13" t="str">
        <f>IF(ISBLANK(D626), "", VLOOKUP(D626, Config!$F$6:$G$30, 2, FALSE()))</f>
        <v/>
      </c>
      <c r="F626" s="16"/>
    </row>
    <row r="627" ht="15.0" customHeight="1">
      <c r="A627" s="12"/>
      <c r="B627" s="13"/>
      <c r="C627" s="8"/>
      <c r="D627" s="8"/>
      <c r="E627" s="13" t="str">
        <f>IF(ISBLANK(D627), "", VLOOKUP(D627, Config!$F$6:$G$30, 2, FALSE()))</f>
        <v/>
      </c>
      <c r="F627" s="16"/>
    </row>
    <row r="628" ht="15.0" customHeight="1">
      <c r="A628" s="12"/>
      <c r="B628" s="13"/>
      <c r="C628" s="8"/>
      <c r="D628" s="8"/>
      <c r="E628" s="13" t="str">
        <f>IF(ISBLANK(D628), "", VLOOKUP(D628, Config!$F$6:$G$30, 2, FALSE()))</f>
        <v/>
      </c>
      <c r="F628" s="16"/>
    </row>
    <row r="629" ht="15.0" customHeight="1">
      <c r="A629" s="12"/>
      <c r="B629" s="13"/>
      <c r="C629" s="8"/>
      <c r="D629" s="8"/>
      <c r="E629" s="13" t="str">
        <f>IF(ISBLANK(D629), "", VLOOKUP(D629, Config!$F$6:$G$30, 2, FALSE()))</f>
        <v/>
      </c>
      <c r="F629" s="16"/>
    </row>
    <row r="630" ht="15.0" customHeight="1">
      <c r="A630" s="12"/>
      <c r="B630" s="13"/>
      <c r="C630" s="8"/>
      <c r="D630" s="8"/>
      <c r="E630" s="13" t="str">
        <f>IF(ISBLANK(D630), "", VLOOKUP(D630, Config!$F$6:$G$30, 2, FALSE()))</f>
        <v/>
      </c>
      <c r="F630" s="16"/>
    </row>
    <row r="631" ht="15.0" customHeight="1">
      <c r="A631" s="12"/>
      <c r="B631" s="13"/>
      <c r="C631" s="8"/>
      <c r="D631" s="8"/>
      <c r="E631" s="13" t="str">
        <f>IF(ISBLANK(D631), "", VLOOKUP(D631, Config!$F$6:$G$30, 2, FALSE()))</f>
        <v/>
      </c>
      <c r="F631" s="16"/>
    </row>
    <row r="632" ht="15.0" customHeight="1">
      <c r="A632" s="12"/>
      <c r="B632" s="13"/>
      <c r="C632" s="8"/>
      <c r="D632" s="8"/>
      <c r="E632" s="13" t="str">
        <f>IF(ISBLANK(D632), "", VLOOKUP(D632, Config!$F$6:$G$30, 2, FALSE()))</f>
        <v/>
      </c>
      <c r="F632" s="16"/>
    </row>
    <row r="633" ht="15.0" customHeight="1">
      <c r="A633" s="12"/>
      <c r="B633" s="13"/>
      <c r="C633" s="8"/>
      <c r="D633" s="8"/>
      <c r="E633" s="13" t="str">
        <f>IF(ISBLANK(D633), "", VLOOKUP(D633, Config!$F$6:$G$30, 2, FALSE()))</f>
        <v/>
      </c>
      <c r="F633" s="16"/>
    </row>
    <row r="634" ht="15.0" customHeight="1">
      <c r="A634" s="12"/>
      <c r="B634" s="13"/>
      <c r="C634" s="8"/>
      <c r="D634" s="8"/>
      <c r="E634" s="13" t="str">
        <f>IF(ISBLANK(D634), "", VLOOKUP(D634, Config!$F$6:$G$30, 2, FALSE()))</f>
        <v/>
      </c>
      <c r="F634" s="16"/>
    </row>
    <row r="635" ht="15.0" customHeight="1">
      <c r="A635" s="12"/>
      <c r="B635" s="13"/>
      <c r="C635" s="8"/>
      <c r="D635" s="8"/>
      <c r="E635" s="13" t="str">
        <f>IF(ISBLANK(D635), "", VLOOKUP(D635, Config!$F$6:$G$30, 2, FALSE()))</f>
        <v/>
      </c>
      <c r="F635" s="16"/>
    </row>
    <row r="636" ht="15.0" customHeight="1">
      <c r="A636" s="12"/>
      <c r="B636" s="13"/>
      <c r="C636" s="8"/>
      <c r="D636" s="8"/>
      <c r="E636" s="13" t="str">
        <f>IF(ISBLANK(D636), "", VLOOKUP(D636, Config!$F$6:$G$30, 2, FALSE()))</f>
        <v/>
      </c>
      <c r="F636" s="16"/>
    </row>
    <row r="637" ht="15.0" customHeight="1">
      <c r="A637" s="12"/>
      <c r="B637" s="13"/>
      <c r="C637" s="8"/>
      <c r="D637" s="8"/>
      <c r="E637" s="13" t="str">
        <f>IF(ISBLANK(D637), "", VLOOKUP(D637, Config!$F$6:$G$30, 2, FALSE()))</f>
        <v/>
      </c>
      <c r="F637" s="16"/>
    </row>
    <row r="638" ht="15.0" customHeight="1">
      <c r="A638" s="12"/>
      <c r="B638" s="13"/>
      <c r="C638" s="8"/>
      <c r="D638" s="8"/>
      <c r="E638" s="13" t="str">
        <f>IF(ISBLANK(D638), "", VLOOKUP(D638, Config!$F$6:$G$30, 2, FALSE()))</f>
        <v/>
      </c>
      <c r="F638" s="16"/>
    </row>
    <row r="639" ht="15.0" customHeight="1">
      <c r="A639" s="12"/>
      <c r="B639" s="13"/>
      <c r="C639" s="8"/>
      <c r="D639" s="8"/>
      <c r="E639" s="13" t="str">
        <f>IF(ISBLANK(D639), "", VLOOKUP(D639, Config!$F$6:$G$30, 2, FALSE()))</f>
        <v/>
      </c>
      <c r="F639" s="16"/>
    </row>
    <row r="640" ht="15.0" customHeight="1">
      <c r="A640" s="12"/>
      <c r="B640" s="13"/>
      <c r="C640" s="8"/>
      <c r="D640" s="8"/>
      <c r="E640" s="13" t="str">
        <f>IF(ISBLANK(D640), "", VLOOKUP(D640, Config!$F$6:$G$30, 2, FALSE()))</f>
        <v/>
      </c>
      <c r="F640" s="16"/>
    </row>
    <row r="641" ht="15.0" customHeight="1">
      <c r="A641" s="12"/>
      <c r="B641" s="13"/>
      <c r="C641" s="8"/>
      <c r="D641" s="8"/>
      <c r="E641" s="13" t="str">
        <f>IF(ISBLANK(D641), "", VLOOKUP(D641, Config!$F$6:$G$30, 2, FALSE()))</f>
        <v/>
      </c>
      <c r="F641" s="16"/>
    </row>
    <row r="642" ht="15.0" customHeight="1">
      <c r="A642" s="12"/>
      <c r="B642" s="13"/>
      <c r="C642" s="8"/>
      <c r="D642" s="8"/>
      <c r="E642" s="13" t="str">
        <f>IF(ISBLANK(D642), "", VLOOKUP(D642, Config!$F$6:$G$30, 2, FALSE()))</f>
        <v/>
      </c>
      <c r="F642" s="16"/>
    </row>
    <row r="643" ht="15.0" customHeight="1">
      <c r="A643" s="12"/>
      <c r="B643" s="13"/>
      <c r="C643" s="8"/>
      <c r="D643" s="8"/>
      <c r="E643" s="13" t="str">
        <f>IF(ISBLANK(D643), "", VLOOKUP(D643, Config!$F$6:$G$30, 2, FALSE()))</f>
        <v/>
      </c>
      <c r="F643" s="16"/>
    </row>
    <row r="644" ht="15.0" customHeight="1">
      <c r="A644" s="12"/>
      <c r="B644" s="13"/>
      <c r="C644" s="8"/>
      <c r="D644" s="8"/>
      <c r="E644" s="13" t="str">
        <f>IF(ISBLANK(D644), "", VLOOKUP(D644, Config!$F$6:$G$30, 2, FALSE()))</f>
        <v/>
      </c>
      <c r="F644" s="16"/>
    </row>
    <row r="645" ht="15.0" customHeight="1">
      <c r="A645" s="12"/>
      <c r="B645" s="13"/>
      <c r="C645" s="8"/>
      <c r="D645" s="8"/>
      <c r="E645" s="13" t="str">
        <f>IF(ISBLANK(D645), "", VLOOKUP(D645, Config!$F$6:$G$30, 2, FALSE()))</f>
        <v/>
      </c>
      <c r="F645" s="16"/>
    </row>
    <row r="646" ht="15.0" customHeight="1">
      <c r="A646" s="12"/>
      <c r="B646" s="13"/>
      <c r="C646" s="8"/>
      <c r="D646" s="8"/>
      <c r="E646" s="13" t="str">
        <f>IF(ISBLANK(D646), "", VLOOKUP(D646, Config!$F$6:$G$30, 2, FALSE()))</f>
        <v/>
      </c>
      <c r="F646" s="16"/>
    </row>
    <row r="647" ht="15.0" customHeight="1">
      <c r="A647" s="12"/>
      <c r="B647" s="13"/>
      <c r="C647" s="8"/>
      <c r="D647" s="8"/>
      <c r="E647" s="13" t="str">
        <f>IF(ISBLANK(D647), "", VLOOKUP(D647, Config!$F$6:$G$30, 2, FALSE()))</f>
        <v/>
      </c>
      <c r="F647" s="16"/>
    </row>
    <row r="648" ht="15.0" customHeight="1">
      <c r="A648" s="12"/>
      <c r="B648" s="13"/>
      <c r="C648" s="8"/>
      <c r="D648" s="8"/>
      <c r="E648" s="13" t="str">
        <f>IF(ISBLANK(D648), "", VLOOKUP(D648, Config!$F$6:$G$30, 2, FALSE()))</f>
        <v/>
      </c>
      <c r="F648" s="16"/>
    </row>
    <row r="649" ht="15.0" customHeight="1">
      <c r="A649" s="12"/>
      <c r="B649" s="13"/>
      <c r="C649" s="8"/>
      <c r="D649" s="8"/>
      <c r="E649" s="13" t="str">
        <f>IF(ISBLANK(D649), "", VLOOKUP(D649, Config!$F$6:$G$30, 2, FALSE()))</f>
        <v/>
      </c>
      <c r="F649" s="16"/>
    </row>
    <row r="650" ht="15.0" customHeight="1">
      <c r="A650" s="12"/>
      <c r="B650" s="13"/>
      <c r="C650" s="8"/>
      <c r="D650" s="8"/>
      <c r="E650" s="13" t="str">
        <f>IF(ISBLANK(D650), "", VLOOKUP(D650, Config!$F$6:$G$30, 2, FALSE()))</f>
        <v/>
      </c>
      <c r="F650" s="16"/>
    </row>
    <row r="651" ht="15.0" customHeight="1">
      <c r="A651" s="12"/>
      <c r="B651" s="13"/>
      <c r="C651" s="8"/>
      <c r="D651" s="8"/>
      <c r="E651" s="13" t="str">
        <f>IF(ISBLANK(D651), "", VLOOKUP(D651, Config!$F$6:$G$30, 2, FALSE()))</f>
        <v/>
      </c>
      <c r="F651" s="16"/>
    </row>
    <row r="652" ht="15.0" customHeight="1">
      <c r="A652" s="12"/>
      <c r="B652" s="13"/>
      <c r="C652" s="8"/>
      <c r="D652" s="8"/>
      <c r="E652" s="13" t="str">
        <f>IF(ISBLANK(D652), "", VLOOKUP(D652, Config!$F$6:$G$30, 2, FALSE()))</f>
        <v/>
      </c>
      <c r="F652" s="16"/>
    </row>
    <row r="653" ht="15.0" customHeight="1">
      <c r="A653" s="12"/>
      <c r="B653" s="13"/>
      <c r="C653" s="8"/>
      <c r="D653" s="8"/>
      <c r="E653" s="13" t="str">
        <f>IF(ISBLANK(D653), "", VLOOKUP(D653, Config!$F$6:$G$30, 2, FALSE()))</f>
        <v/>
      </c>
      <c r="F653" s="16"/>
    </row>
    <row r="654" ht="15.0" customHeight="1">
      <c r="A654" s="12"/>
      <c r="B654" s="13"/>
      <c r="C654" s="8"/>
      <c r="D654" s="8"/>
      <c r="E654" s="13" t="str">
        <f>IF(ISBLANK(D654), "", VLOOKUP(D654, Config!$F$6:$G$30, 2, FALSE()))</f>
        <v/>
      </c>
      <c r="F654" s="16"/>
    </row>
    <row r="655" ht="15.0" customHeight="1">
      <c r="A655" s="12"/>
      <c r="B655" s="13"/>
      <c r="C655" s="8"/>
      <c r="D655" s="8"/>
      <c r="E655" s="13" t="str">
        <f>IF(ISBLANK(D655), "", VLOOKUP(D655, Config!$F$6:$G$30, 2, FALSE()))</f>
        <v/>
      </c>
      <c r="F655" s="16"/>
    </row>
    <row r="656" ht="15.0" customHeight="1">
      <c r="A656" s="12"/>
      <c r="B656" s="13"/>
      <c r="C656" s="8"/>
      <c r="D656" s="8"/>
      <c r="E656" s="13" t="str">
        <f>IF(ISBLANK(D656), "", VLOOKUP(D656, Config!$F$6:$G$30, 2, FALSE()))</f>
        <v/>
      </c>
      <c r="F656" s="16"/>
    </row>
    <row r="657" ht="15.0" customHeight="1">
      <c r="A657" s="12"/>
      <c r="B657" s="13"/>
      <c r="C657" s="8"/>
      <c r="D657" s="8"/>
      <c r="E657" s="13" t="str">
        <f>IF(ISBLANK(D657), "", VLOOKUP(D657, Config!$F$6:$G$30, 2, FALSE()))</f>
        <v/>
      </c>
      <c r="F657" s="16"/>
    </row>
    <row r="658" ht="15.0" customHeight="1">
      <c r="A658" s="12"/>
      <c r="B658" s="13"/>
      <c r="C658" s="8"/>
      <c r="D658" s="8"/>
      <c r="E658" s="13" t="str">
        <f>IF(ISBLANK(D658), "", VLOOKUP(D658, Config!$F$6:$G$30, 2, FALSE()))</f>
        <v/>
      </c>
      <c r="F658" s="16"/>
    </row>
    <row r="659" ht="15.0" customHeight="1">
      <c r="A659" s="12"/>
      <c r="B659" s="13"/>
      <c r="C659" s="8"/>
      <c r="D659" s="8"/>
      <c r="E659" s="13" t="str">
        <f>IF(ISBLANK(D659), "", VLOOKUP(D659, Config!$F$6:$G$30, 2, FALSE()))</f>
        <v/>
      </c>
      <c r="F659" s="16"/>
    </row>
    <row r="660" ht="15.0" customHeight="1">
      <c r="A660" s="12"/>
      <c r="B660" s="13"/>
      <c r="C660" s="8"/>
      <c r="D660" s="8"/>
      <c r="E660" s="13" t="str">
        <f>IF(ISBLANK(D660), "", VLOOKUP(D660, Config!$F$6:$G$30, 2, FALSE()))</f>
        <v/>
      </c>
      <c r="F660" s="16"/>
    </row>
    <row r="661" ht="15.0" customHeight="1">
      <c r="A661" s="12"/>
      <c r="B661" s="13"/>
      <c r="C661" s="8"/>
      <c r="D661" s="8"/>
      <c r="E661" s="13" t="str">
        <f>IF(ISBLANK(D661), "", VLOOKUP(D661, Config!$F$6:$G$30, 2, FALSE()))</f>
        <v/>
      </c>
      <c r="F661" s="16"/>
    </row>
    <row r="662" ht="15.0" customHeight="1">
      <c r="A662" s="12"/>
      <c r="B662" s="13"/>
      <c r="C662" s="8"/>
      <c r="D662" s="8"/>
      <c r="E662" s="13" t="str">
        <f>IF(ISBLANK(D662), "", VLOOKUP(D662, Config!$F$6:$G$30, 2, FALSE()))</f>
        <v/>
      </c>
      <c r="F662" s="16"/>
    </row>
    <row r="663" ht="15.0" customHeight="1">
      <c r="A663" s="12"/>
      <c r="B663" s="13"/>
      <c r="C663" s="8"/>
      <c r="D663" s="8"/>
      <c r="E663" s="13" t="str">
        <f>IF(ISBLANK(D663), "", VLOOKUP(D663, Config!$F$6:$G$30, 2, FALSE()))</f>
        <v/>
      </c>
      <c r="F663" s="16"/>
    </row>
    <row r="664" ht="15.0" customHeight="1">
      <c r="A664" s="12"/>
      <c r="B664" s="13"/>
      <c r="C664" s="8"/>
      <c r="D664" s="8"/>
      <c r="E664" s="13" t="str">
        <f>IF(ISBLANK(D664), "", VLOOKUP(D664, Config!$F$6:$G$30, 2, FALSE()))</f>
        <v/>
      </c>
      <c r="F664" s="16"/>
    </row>
    <row r="665" ht="15.0" customHeight="1">
      <c r="A665" s="12"/>
      <c r="B665" s="13"/>
      <c r="C665" s="8"/>
      <c r="D665" s="8"/>
      <c r="E665" s="13" t="str">
        <f>IF(ISBLANK(D665), "", VLOOKUP(D665, Config!$F$6:$G$30, 2, FALSE()))</f>
        <v/>
      </c>
      <c r="F665" s="16"/>
    </row>
    <row r="666" ht="15.0" customHeight="1">
      <c r="A666" s="12"/>
      <c r="B666" s="13"/>
      <c r="C666" s="8"/>
      <c r="D666" s="8"/>
      <c r="E666" s="13" t="str">
        <f>IF(ISBLANK(D666), "", VLOOKUP(D666, Config!$F$6:$G$30, 2, FALSE()))</f>
        <v/>
      </c>
      <c r="F666" s="16"/>
    </row>
    <row r="667" ht="15.0" customHeight="1">
      <c r="A667" s="12"/>
      <c r="B667" s="13"/>
      <c r="C667" s="8"/>
      <c r="D667" s="8"/>
      <c r="E667" s="13" t="str">
        <f>IF(ISBLANK(D667), "", VLOOKUP(D667, Config!$F$6:$G$30, 2, FALSE()))</f>
        <v/>
      </c>
      <c r="F667" s="16"/>
    </row>
    <row r="668" ht="15.0" customHeight="1">
      <c r="A668" s="12"/>
      <c r="B668" s="13"/>
      <c r="C668" s="8"/>
      <c r="D668" s="8"/>
      <c r="E668" s="13" t="str">
        <f>IF(ISBLANK(D668), "", VLOOKUP(D668, Config!$F$6:$G$30, 2, FALSE()))</f>
        <v/>
      </c>
      <c r="F668" s="16"/>
    </row>
    <row r="669" ht="15.0" customHeight="1">
      <c r="A669" s="12"/>
      <c r="B669" s="13"/>
      <c r="C669" s="8"/>
      <c r="D669" s="8"/>
      <c r="E669" s="13" t="str">
        <f>IF(ISBLANK(D669), "", VLOOKUP(D669, Config!$F$6:$G$30, 2, FALSE()))</f>
        <v/>
      </c>
      <c r="F669" s="16"/>
    </row>
    <row r="670" ht="15.0" customHeight="1">
      <c r="A670" s="12"/>
      <c r="B670" s="13"/>
      <c r="C670" s="8"/>
      <c r="D670" s="8"/>
      <c r="E670" s="13" t="str">
        <f>IF(ISBLANK(D670), "", VLOOKUP(D670, Config!$F$6:$G$30, 2, FALSE()))</f>
        <v/>
      </c>
      <c r="F670" s="16"/>
    </row>
    <row r="671" ht="15.0" customHeight="1">
      <c r="A671" s="12"/>
      <c r="B671" s="13"/>
      <c r="C671" s="8"/>
      <c r="D671" s="8"/>
      <c r="E671" s="13" t="str">
        <f>IF(ISBLANK(D671), "", VLOOKUP(D671, Config!$F$6:$G$30, 2, FALSE()))</f>
        <v/>
      </c>
      <c r="F671" s="16"/>
    </row>
    <row r="672" ht="15.0" customHeight="1">
      <c r="A672" s="12"/>
      <c r="B672" s="13"/>
      <c r="C672" s="8"/>
      <c r="D672" s="8"/>
      <c r="E672" s="13" t="str">
        <f>IF(ISBLANK(D672), "", VLOOKUP(D672, Config!$F$6:$G$30, 2, FALSE()))</f>
        <v/>
      </c>
      <c r="F672" s="16"/>
    </row>
    <row r="673" ht="15.0" customHeight="1">
      <c r="A673" s="12"/>
      <c r="B673" s="13"/>
      <c r="C673" s="8"/>
      <c r="D673" s="8"/>
      <c r="E673" s="13" t="str">
        <f>IF(ISBLANK(D673), "", VLOOKUP(D673, Config!$F$6:$G$30, 2, FALSE()))</f>
        <v/>
      </c>
      <c r="F673" s="16"/>
    </row>
    <row r="674" ht="15.0" customHeight="1">
      <c r="A674" s="12"/>
      <c r="B674" s="13"/>
      <c r="C674" s="8"/>
      <c r="D674" s="8"/>
      <c r="E674" s="13" t="str">
        <f>IF(ISBLANK(D674), "", VLOOKUP(D674, Config!$F$6:$G$30, 2, FALSE()))</f>
        <v/>
      </c>
      <c r="F674" s="16"/>
    </row>
    <row r="675" ht="15.0" customHeight="1">
      <c r="A675" s="12"/>
      <c r="B675" s="13"/>
      <c r="C675" s="8"/>
      <c r="D675" s="8"/>
      <c r="E675" s="13" t="str">
        <f>IF(ISBLANK(D675), "", VLOOKUP(D675, Config!$F$6:$G$30, 2, FALSE()))</f>
        <v/>
      </c>
      <c r="F675" s="16"/>
    </row>
    <row r="676" ht="15.0" customHeight="1">
      <c r="A676" s="12"/>
      <c r="B676" s="13"/>
      <c r="C676" s="8"/>
      <c r="D676" s="8"/>
      <c r="E676" s="13" t="str">
        <f>IF(ISBLANK(D676), "", VLOOKUP(D676, Config!$F$6:$G$30, 2, FALSE()))</f>
        <v/>
      </c>
      <c r="F676" s="16"/>
    </row>
    <row r="677" ht="15.0" customHeight="1">
      <c r="A677" s="12"/>
      <c r="B677" s="13"/>
      <c r="C677" s="8"/>
      <c r="D677" s="8"/>
      <c r="E677" s="13" t="str">
        <f>IF(ISBLANK(D677), "", VLOOKUP(D677, Config!$F$6:$G$30, 2, FALSE()))</f>
        <v/>
      </c>
      <c r="F677" s="16"/>
    </row>
    <row r="678" ht="15.0" customHeight="1">
      <c r="A678" s="12"/>
      <c r="B678" s="13"/>
      <c r="C678" s="8"/>
      <c r="D678" s="8"/>
      <c r="E678" s="13" t="str">
        <f>IF(ISBLANK(D678), "", VLOOKUP(D678, Config!$F$6:$G$30, 2, FALSE()))</f>
        <v/>
      </c>
      <c r="F678" s="16"/>
    </row>
    <row r="679" ht="15.0" customHeight="1">
      <c r="A679" s="12"/>
      <c r="B679" s="13"/>
      <c r="C679" s="8"/>
      <c r="D679" s="8"/>
      <c r="E679" s="13" t="str">
        <f>IF(ISBLANK(D679), "", VLOOKUP(D679, Config!$F$6:$G$30, 2, FALSE()))</f>
        <v/>
      </c>
      <c r="F679" s="16"/>
    </row>
    <row r="680" ht="15.0" customHeight="1">
      <c r="A680" s="12"/>
      <c r="B680" s="13"/>
      <c r="C680" s="8"/>
      <c r="D680" s="8"/>
      <c r="E680" s="13" t="str">
        <f>IF(ISBLANK(D680), "", VLOOKUP(D680, Config!$F$6:$G$30, 2, FALSE()))</f>
        <v/>
      </c>
      <c r="F680" s="16"/>
    </row>
    <row r="681" ht="15.0" customHeight="1">
      <c r="A681" s="12"/>
      <c r="B681" s="13"/>
      <c r="C681" s="8"/>
      <c r="D681" s="8"/>
      <c r="E681" s="13" t="str">
        <f>IF(ISBLANK(D681), "", VLOOKUP(D681, Config!$F$6:$G$30, 2, FALSE()))</f>
        <v/>
      </c>
      <c r="F681" s="16"/>
    </row>
    <row r="682" ht="15.0" customHeight="1">
      <c r="A682" s="12"/>
      <c r="B682" s="13"/>
      <c r="C682" s="8"/>
      <c r="D682" s="8"/>
      <c r="E682" s="13" t="str">
        <f>IF(ISBLANK(D682), "", VLOOKUP(D682, Config!$F$6:$G$30, 2, FALSE()))</f>
        <v/>
      </c>
      <c r="F682" s="16"/>
    </row>
    <row r="683" ht="15.0" customHeight="1">
      <c r="A683" s="12"/>
      <c r="B683" s="13"/>
      <c r="C683" s="8"/>
      <c r="D683" s="8"/>
      <c r="E683" s="13" t="str">
        <f>IF(ISBLANK(D683), "", VLOOKUP(D683, Config!$F$6:$G$30, 2, FALSE()))</f>
        <v/>
      </c>
      <c r="F683" s="16"/>
    </row>
    <row r="684" ht="15.0" customHeight="1">
      <c r="A684" s="12"/>
      <c r="B684" s="13"/>
      <c r="C684" s="8"/>
      <c r="D684" s="8"/>
      <c r="E684" s="13" t="str">
        <f>IF(ISBLANK(D684), "", VLOOKUP(D684, Config!$F$6:$G$30, 2, FALSE()))</f>
        <v/>
      </c>
      <c r="F684" s="16"/>
    </row>
    <row r="685" ht="15.0" customHeight="1">
      <c r="A685" s="12"/>
      <c r="B685" s="13"/>
      <c r="C685" s="8"/>
      <c r="D685" s="8"/>
      <c r="E685" s="13" t="str">
        <f>IF(ISBLANK(D685), "", VLOOKUP(D685, Config!$F$6:$G$30, 2, FALSE()))</f>
        <v/>
      </c>
      <c r="F685" s="16"/>
    </row>
    <row r="686" ht="15.0" customHeight="1">
      <c r="A686" s="12"/>
      <c r="B686" s="13"/>
      <c r="C686" s="8"/>
      <c r="D686" s="8"/>
      <c r="E686" s="13" t="str">
        <f>IF(ISBLANK(D686), "", VLOOKUP(D686, Config!$F$6:$G$30, 2, FALSE()))</f>
        <v/>
      </c>
      <c r="F686" s="16"/>
    </row>
    <row r="687" ht="15.0" customHeight="1">
      <c r="A687" s="12"/>
      <c r="B687" s="13"/>
      <c r="C687" s="8"/>
      <c r="D687" s="8"/>
      <c r="E687" s="13" t="str">
        <f>IF(ISBLANK(D687), "", VLOOKUP(D687, Config!$F$6:$G$30, 2, FALSE()))</f>
        <v/>
      </c>
      <c r="F687" s="16"/>
    </row>
    <row r="688" ht="15.0" customHeight="1">
      <c r="A688" s="12"/>
      <c r="B688" s="13"/>
      <c r="C688" s="8"/>
      <c r="D688" s="8"/>
      <c r="E688" s="13" t="str">
        <f>IF(ISBLANK(D688), "", VLOOKUP(D688, Config!$F$6:$G$30, 2, FALSE()))</f>
        <v/>
      </c>
      <c r="F688" s="16"/>
    </row>
    <row r="689" ht="15.0" customHeight="1">
      <c r="A689" s="12"/>
      <c r="B689" s="13"/>
      <c r="C689" s="8"/>
      <c r="D689" s="8"/>
      <c r="E689" s="13" t="str">
        <f>IF(ISBLANK(D689), "", VLOOKUP(D689, Config!$F$6:$G$30, 2, FALSE()))</f>
        <v/>
      </c>
      <c r="F689" s="16"/>
    </row>
    <row r="690" ht="15.0" customHeight="1">
      <c r="A690" s="12"/>
      <c r="B690" s="13"/>
      <c r="C690" s="8"/>
      <c r="D690" s="8"/>
      <c r="E690" s="13" t="str">
        <f>IF(ISBLANK(D690), "", VLOOKUP(D690, Config!$F$6:$G$30, 2, FALSE()))</f>
        <v/>
      </c>
      <c r="F690" s="16"/>
    </row>
    <row r="691" ht="15.0" customHeight="1">
      <c r="A691" s="12"/>
      <c r="B691" s="13"/>
      <c r="C691" s="8"/>
      <c r="D691" s="8"/>
      <c r="E691" s="13" t="str">
        <f>IF(ISBLANK(D691), "", VLOOKUP(D691, Config!$F$6:$G$30, 2, FALSE()))</f>
        <v/>
      </c>
      <c r="F691" s="16"/>
    </row>
    <row r="692" ht="15.0" customHeight="1">
      <c r="A692" s="12"/>
      <c r="B692" s="13"/>
      <c r="C692" s="8"/>
      <c r="D692" s="8"/>
      <c r="E692" s="13" t="str">
        <f>IF(ISBLANK(D692), "", VLOOKUP(D692, Config!$F$6:$G$30, 2, FALSE()))</f>
        <v/>
      </c>
      <c r="F692" s="16"/>
    </row>
    <row r="693" ht="15.0" customHeight="1">
      <c r="A693" s="12"/>
      <c r="B693" s="13"/>
      <c r="C693" s="8"/>
      <c r="D693" s="8"/>
      <c r="E693" s="13" t="str">
        <f>IF(ISBLANK(D693), "", VLOOKUP(D693, Config!$F$6:$G$30, 2, FALSE()))</f>
        <v/>
      </c>
      <c r="F693" s="16"/>
    </row>
    <row r="694" ht="15.0" customHeight="1">
      <c r="A694" s="12"/>
      <c r="B694" s="13"/>
      <c r="C694" s="8"/>
      <c r="D694" s="8"/>
      <c r="E694" s="13" t="str">
        <f>IF(ISBLANK(D694), "", VLOOKUP(D694, Config!$F$6:$G$30, 2, FALSE()))</f>
        <v/>
      </c>
      <c r="F694" s="16"/>
    </row>
    <row r="695" ht="15.0" customHeight="1">
      <c r="A695" s="12"/>
      <c r="B695" s="13"/>
      <c r="C695" s="8"/>
      <c r="D695" s="8"/>
      <c r="E695" s="13" t="str">
        <f>IF(ISBLANK(D695), "", VLOOKUP(D695, Config!$F$6:$G$30, 2, FALSE()))</f>
        <v/>
      </c>
      <c r="F695" s="16"/>
    </row>
    <row r="696" ht="15.0" customHeight="1">
      <c r="A696" s="12"/>
      <c r="B696" s="13"/>
      <c r="C696" s="8"/>
      <c r="D696" s="8"/>
      <c r="E696" s="13" t="str">
        <f>IF(ISBLANK(D696), "", VLOOKUP(D696, Config!$F$6:$G$30, 2, FALSE()))</f>
        <v/>
      </c>
      <c r="F696" s="16"/>
    </row>
    <row r="697" ht="15.0" customHeight="1">
      <c r="A697" s="12"/>
      <c r="B697" s="13"/>
      <c r="C697" s="8"/>
      <c r="D697" s="8"/>
      <c r="E697" s="13" t="str">
        <f>IF(ISBLANK(D697), "", VLOOKUP(D697, Config!$F$6:$G$30, 2, FALSE()))</f>
        <v/>
      </c>
      <c r="F697" s="16"/>
    </row>
    <row r="698" ht="15.0" customHeight="1">
      <c r="A698" s="12"/>
      <c r="B698" s="13"/>
      <c r="C698" s="8"/>
      <c r="D698" s="8"/>
      <c r="E698" s="13" t="str">
        <f>IF(ISBLANK(D698), "", VLOOKUP(D698, Config!$F$6:$G$30, 2, FALSE()))</f>
        <v/>
      </c>
      <c r="F698" s="16"/>
    </row>
    <row r="699" ht="15.0" customHeight="1">
      <c r="A699" s="12"/>
      <c r="B699" s="13"/>
      <c r="C699" s="8"/>
      <c r="D699" s="8"/>
      <c r="E699" s="13" t="str">
        <f>IF(ISBLANK(D699), "", VLOOKUP(D699, Config!$F$6:$G$30, 2, FALSE()))</f>
        <v/>
      </c>
      <c r="F699" s="16"/>
    </row>
    <row r="700" ht="15.0" customHeight="1">
      <c r="A700" s="12"/>
      <c r="B700" s="13"/>
      <c r="C700" s="8"/>
      <c r="D700" s="8"/>
      <c r="E700" s="13" t="str">
        <f>IF(ISBLANK(D700), "", VLOOKUP(D700, Config!$F$6:$G$30, 2, FALSE()))</f>
        <v/>
      </c>
      <c r="F700" s="16"/>
    </row>
    <row r="701" ht="15.0" customHeight="1">
      <c r="A701" s="12"/>
      <c r="B701" s="13"/>
      <c r="C701" s="8"/>
      <c r="D701" s="8"/>
      <c r="E701" s="13" t="str">
        <f>IF(ISBLANK(D701), "", VLOOKUP(D701, Config!$F$6:$G$30, 2, FALSE()))</f>
        <v/>
      </c>
      <c r="F701" s="16"/>
    </row>
    <row r="702" ht="15.0" customHeight="1">
      <c r="A702" s="12"/>
      <c r="B702" s="13"/>
      <c r="C702" s="8"/>
      <c r="D702" s="8"/>
      <c r="E702" s="13" t="str">
        <f>IF(ISBLANK(D702), "", VLOOKUP(D702, Config!$F$6:$G$30, 2, FALSE()))</f>
        <v/>
      </c>
      <c r="F702" s="16"/>
    </row>
    <row r="703" ht="15.0" customHeight="1">
      <c r="A703" s="12"/>
      <c r="B703" s="13"/>
      <c r="C703" s="8"/>
      <c r="D703" s="8"/>
      <c r="E703" s="13" t="str">
        <f>IF(ISBLANK(D703), "", VLOOKUP(D703, Config!$F$6:$G$30, 2, FALSE()))</f>
        <v/>
      </c>
      <c r="F703" s="16"/>
    </row>
    <row r="704" ht="15.0" customHeight="1">
      <c r="A704" s="12"/>
      <c r="B704" s="13"/>
      <c r="C704" s="8"/>
      <c r="D704" s="8"/>
      <c r="E704" s="13" t="str">
        <f>IF(ISBLANK(D704), "", VLOOKUP(D704, Config!$F$6:$G$30, 2, FALSE()))</f>
        <v/>
      </c>
      <c r="F704" s="16"/>
    </row>
    <row r="705" ht="15.0" customHeight="1">
      <c r="A705" s="12"/>
      <c r="B705" s="13"/>
      <c r="C705" s="8"/>
      <c r="D705" s="8"/>
      <c r="E705" s="13" t="str">
        <f>IF(ISBLANK(D705), "", VLOOKUP(D705, Config!$F$6:$G$30, 2, FALSE()))</f>
        <v/>
      </c>
      <c r="F705" s="16"/>
    </row>
    <row r="706" ht="15.0" customHeight="1">
      <c r="A706" s="12"/>
      <c r="B706" s="13"/>
      <c r="C706" s="8"/>
      <c r="D706" s="8"/>
      <c r="E706" s="13" t="str">
        <f>IF(ISBLANK(D706), "", VLOOKUP(D706, Config!$F$6:$G$30, 2, FALSE()))</f>
        <v/>
      </c>
      <c r="F706" s="16"/>
    </row>
    <row r="707" ht="15.0" customHeight="1">
      <c r="A707" s="12"/>
      <c r="B707" s="13"/>
      <c r="C707" s="8"/>
      <c r="D707" s="8"/>
      <c r="E707" s="13" t="str">
        <f>IF(ISBLANK(D707), "", VLOOKUP(D707, Config!$F$6:$G$30, 2, FALSE()))</f>
        <v/>
      </c>
      <c r="F707" s="16"/>
    </row>
    <row r="708" ht="15.0" customHeight="1">
      <c r="A708" s="12"/>
      <c r="B708" s="13"/>
      <c r="C708" s="8"/>
      <c r="D708" s="8"/>
      <c r="E708" s="13" t="str">
        <f>IF(ISBLANK(D708), "", VLOOKUP(D708, Config!$F$6:$G$30, 2, FALSE()))</f>
        <v/>
      </c>
      <c r="F708" s="16"/>
    </row>
    <row r="709" ht="15.0" customHeight="1">
      <c r="A709" s="12"/>
      <c r="B709" s="13"/>
      <c r="C709" s="8"/>
      <c r="D709" s="8"/>
      <c r="E709" s="13" t="str">
        <f>IF(ISBLANK(D709), "", VLOOKUP(D709, Config!$F$6:$G$30, 2, FALSE()))</f>
        <v/>
      </c>
      <c r="F709" s="16"/>
    </row>
    <row r="710" ht="15.0" customHeight="1">
      <c r="A710" s="12"/>
      <c r="B710" s="13"/>
      <c r="C710" s="8"/>
      <c r="D710" s="8"/>
      <c r="E710" s="13" t="str">
        <f>IF(ISBLANK(D710), "", VLOOKUP(D710, Config!$F$6:$G$30, 2, FALSE()))</f>
        <v/>
      </c>
      <c r="F710" s="16"/>
    </row>
    <row r="711" ht="15.0" customHeight="1">
      <c r="A711" s="12"/>
      <c r="B711" s="13"/>
      <c r="C711" s="8"/>
      <c r="D711" s="8"/>
      <c r="E711" s="13" t="str">
        <f>IF(ISBLANK(D711), "", VLOOKUP(D711, Config!$F$6:$G$30, 2, FALSE()))</f>
        <v/>
      </c>
      <c r="F711" s="16"/>
    </row>
    <row r="712" ht="15.0" customHeight="1">
      <c r="A712" s="12"/>
      <c r="B712" s="13"/>
      <c r="C712" s="8"/>
      <c r="D712" s="8"/>
      <c r="E712" s="13" t="str">
        <f>IF(ISBLANK(D712), "", VLOOKUP(D712, Config!$F$6:$G$30, 2, FALSE()))</f>
        <v/>
      </c>
      <c r="F712" s="16"/>
    </row>
    <row r="713" ht="15.0" customHeight="1">
      <c r="A713" s="12"/>
      <c r="B713" s="13"/>
      <c r="C713" s="8"/>
      <c r="D713" s="8"/>
      <c r="E713" s="13" t="str">
        <f>IF(ISBLANK(D713), "", VLOOKUP(D713, Config!$F$6:$G$30, 2, FALSE()))</f>
        <v/>
      </c>
      <c r="F713" s="16"/>
    </row>
    <row r="714" ht="15.0" customHeight="1">
      <c r="A714" s="12"/>
      <c r="B714" s="13"/>
      <c r="C714" s="8"/>
      <c r="D714" s="8"/>
      <c r="E714" s="13" t="str">
        <f>IF(ISBLANK(D714), "", VLOOKUP(D714, Config!$F$6:$G$30, 2, FALSE()))</f>
        <v/>
      </c>
      <c r="F714" s="16"/>
    </row>
    <row r="715" ht="15.0" customHeight="1">
      <c r="A715" s="12"/>
      <c r="B715" s="13"/>
      <c r="C715" s="8"/>
      <c r="D715" s="8"/>
      <c r="E715" s="13" t="str">
        <f>IF(ISBLANK(D715), "", VLOOKUP(D715, Config!$F$6:$G$30, 2, FALSE()))</f>
        <v/>
      </c>
      <c r="F715" s="16"/>
    </row>
    <row r="716" ht="15.0" customHeight="1">
      <c r="A716" s="12"/>
      <c r="B716" s="13"/>
      <c r="C716" s="8"/>
      <c r="D716" s="8"/>
      <c r="E716" s="13" t="str">
        <f>IF(ISBLANK(D716), "", VLOOKUP(D716, Config!$F$6:$G$30, 2, FALSE()))</f>
        <v/>
      </c>
      <c r="F716" s="16"/>
    </row>
    <row r="717" ht="15.0" customHeight="1">
      <c r="A717" s="12"/>
      <c r="B717" s="13"/>
      <c r="C717" s="8"/>
      <c r="D717" s="8"/>
      <c r="E717" s="13" t="str">
        <f>IF(ISBLANK(D717), "", VLOOKUP(D717, Config!$F$6:$G$30, 2, FALSE()))</f>
        <v/>
      </c>
      <c r="F717" s="16"/>
    </row>
    <row r="718" ht="15.0" customHeight="1">
      <c r="A718" s="12"/>
      <c r="B718" s="13"/>
      <c r="C718" s="8"/>
      <c r="D718" s="8"/>
      <c r="E718" s="13" t="str">
        <f>IF(ISBLANK(D718), "", VLOOKUP(D718, Config!$F$6:$G$30, 2, FALSE()))</f>
        <v/>
      </c>
      <c r="F718" s="16"/>
    </row>
    <row r="719" ht="15.0" customHeight="1">
      <c r="A719" s="12"/>
      <c r="B719" s="13"/>
      <c r="C719" s="8"/>
      <c r="D719" s="8"/>
      <c r="E719" s="13" t="str">
        <f>IF(ISBLANK(D719), "", VLOOKUP(D719, Config!$F$6:$G$30, 2, FALSE()))</f>
        <v/>
      </c>
      <c r="F719" s="16"/>
    </row>
    <row r="720" ht="15.0" customHeight="1">
      <c r="A720" s="12"/>
      <c r="B720" s="13"/>
      <c r="C720" s="8"/>
      <c r="D720" s="8"/>
      <c r="E720" s="13" t="str">
        <f>IF(ISBLANK(D720), "", VLOOKUP(D720, Config!$F$6:$G$30, 2, FALSE()))</f>
        <v/>
      </c>
      <c r="F720" s="16"/>
    </row>
    <row r="721" ht="15.0" customHeight="1">
      <c r="A721" s="12"/>
      <c r="B721" s="13"/>
      <c r="C721" s="8"/>
      <c r="D721" s="8"/>
      <c r="E721" s="13" t="str">
        <f>IF(ISBLANK(D721), "", VLOOKUP(D721, Config!$F$6:$G$30, 2, FALSE()))</f>
        <v/>
      </c>
      <c r="F721" s="16"/>
    </row>
    <row r="722" ht="15.0" customHeight="1">
      <c r="A722" s="12"/>
      <c r="B722" s="13"/>
      <c r="C722" s="8"/>
      <c r="D722" s="8"/>
      <c r="E722" s="13" t="str">
        <f>IF(ISBLANK(D722), "", VLOOKUP(D722, Config!$F$6:$G$30, 2, FALSE()))</f>
        <v/>
      </c>
      <c r="F722" s="16"/>
    </row>
    <row r="723" ht="15.0" customHeight="1">
      <c r="A723" s="12"/>
      <c r="B723" s="13"/>
      <c r="C723" s="8"/>
      <c r="D723" s="8"/>
      <c r="E723" s="13" t="str">
        <f>IF(ISBLANK(D723), "", VLOOKUP(D723, Config!$F$6:$G$30, 2, FALSE()))</f>
        <v/>
      </c>
      <c r="F723" s="16"/>
    </row>
    <row r="724" ht="15.0" customHeight="1">
      <c r="A724" s="12"/>
      <c r="B724" s="13"/>
      <c r="C724" s="8"/>
      <c r="D724" s="8"/>
      <c r="E724" s="13" t="str">
        <f>IF(ISBLANK(D724), "", VLOOKUP(D724, Config!$F$6:$G$30, 2, FALSE()))</f>
        <v/>
      </c>
      <c r="F724" s="16"/>
    </row>
    <row r="725" ht="15.0" customHeight="1">
      <c r="A725" s="12"/>
      <c r="B725" s="13"/>
      <c r="C725" s="8"/>
      <c r="D725" s="8"/>
      <c r="E725" s="13" t="str">
        <f>IF(ISBLANK(D725), "", VLOOKUP(D725, Config!$F$6:$G$30, 2, FALSE()))</f>
        <v/>
      </c>
      <c r="F725" s="16"/>
    </row>
    <row r="726" ht="15.0" customHeight="1">
      <c r="A726" s="12"/>
      <c r="B726" s="13"/>
      <c r="C726" s="8"/>
      <c r="D726" s="8"/>
      <c r="E726" s="13" t="str">
        <f>IF(ISBLANK(D726), "", VLOOKUP(D726, Config!$F$6:$G$30, 2, FALSE()))</f>
        <v/>
      </c>
      <c r="F726" s="16"/>
    </row>
    <row r="727" ht="15.0" customHeight="1">
      <c r="A727" s="12"/>
      <c r="B727" s="13"/>
      <c r="C727" s="8"/>
      <c r="D727" s="8"/>
      <c r="E727" s="13" t="str">
        <f>IF(ISBLANK(D727), "", VLOOKUP(D727, Config!$F$6:$G$30, 2, FALSE()))</f>
        <v/>
      </c>
      <c r="F727" s="16"/>
    </row>
    <row r="728" ht="15.0" customHeight="1">
      <c r="A728" s="12"/>
      <c r="B728" s="13"/>
      <c r="C728" s="8"/>
      <c r="D728" s="8"/>
      <c r="E728" s="13" t="str">
        <f>IF(ISBLANK(D728), "", VLOOKUP(D728, Config!$F$6:$G$30, 2, FALSE()))</f>
        <v/>
      </c>
      <c r="F728" s="16"/>
    </row>
    <row r="729" ht="15.0" customHeight="1">
      <c r="A729" s="12"/>
      <c r="B729" s="13"/>
      <c r="C729" s="8"/>
      <c r="D729" s="8"/>
      <c r="E729" s="13" t="str">
        <f>IF(ISBLANK(D729), "", VLOOKUP(D729, Config!$F$6:$G$30, 2, FALSE()))</f>
        <v/>
      </c>
      <c r="F729" s="16"/>
    </row>
    <row r="730" ht="15.0" customHeight="1">
      <c r="A730" s="12"/>
      <c r="B730" s="13"/>
      <c r="C730" s="8"/>
      <c r="D730" s="8"/>
      <c r="E730" s="13" t="str">
        <f>IF(ISBLANK(D730), "", VLOOKUP(D730, Config!$F$6:$G$30, 2, FALSE()))</f>
        <v/>
      </c>
      <c r="F730" s="16"/>
    </row>
    <row r="731" ht="15.0" customHeight="1">
      <c r="A731" s="12"/>
      <c r="B731" s="13"/>
      <c r="C731" s="8"/>
      <c r="D731" s="8"/>
      <c r="E731" s="13" t="str">
        <f>IF(ISBLANK(D731), "", VLOOKUP(D731, Config!$F$6:$G$30, 2, FALSE()))</f>
        <v/>
      </c>
      <c r="F731" s="16"/>
    </row>
    <row r="732" ht="15.0" customHeight="1">
      <c r="A732" s="12"/>
      <c r="B732" s="13"/>
      <c r="C732" s="8"/>
      <c r="D732" s="8"/>
      <c r="E732" s="13" t="str">
        <f>IF(ISBLANK(D732), "", VLOOKUP(D732, Config!$F$6:$G$30, 2, FALSE()))</f>
        <v/>
      </c>
      <c r="F732" s="16"/>
    </row>
    <row r="733" ht="15.0" customHeight="1">
      <c r="A733" s="12"/>
      <c r="B733" s="13"/>
      <c r="C733" s="8"/>
      <c r="D733" s="8"/>
      <c r="E733" s="13" t="str">
        <f>IF(ISBLANK(D733), "", VLOOKUP(D733, Config!$F$6:$G$30, 2, FALSE()))</f>
        <v/>
      </c>
      <c r="F733" s="16"/>
    </row>
    <row r="734" ht="15.0" customHeight="1">
      <c r="A734" s="12"/>
      <c r="B734" s="13"/>
      <c r="C734" s="8"/>
      <c r="D734" s="8"/>
      <c r="E734" s="13" t="str">
        <f>IF(ISBLANK(D734), "", VLOOKUP(D734, Config!$F$6:$G$30, 2, FALSE()))</f>
        <v/>
      </c>
      <c r="F734" s="16"/>
    </row>
    <row r="735" ht="15.0" customHeight="1">
      <c r="A735" s="12"/>
      <c r="B735" s="13"/>
      <c r="C735" s="8"/>
      <c r="D735" s="8"/>
      <c r="E735" s="13" t="str">
        <f>IF(ISBLANK(D735), "", VLOOKUP(D735, Config!$F$6:$G$30, 2, FALSE()))</f>
        <v/>
      </c>
      <c r="F735" s="16"/>
    </row>
    <row r="736" ht="15.0" customHeight="1">
      <c r="A736" s="12"/>
      <c r="B736" s="13"/>
      <c r="C736" s="8"/>
      <c r="D736" s="8"/>
      <c r="E736" s="13" t="str">
        <f>IF(ISBLANK(D736), "", VLOOKUP(D736, Config!$F$6:$G$30, 2, FALSE()))</f>
        <v/>
      </c>
      <c r="F736" s="16"/>
    </row>
    <row r="737" ht="15.0" customHeight="1">
      <c r="A737" s="12"/>
      <c r="B737" s="13"/>
      <c r="C737" s="8"/>
      <c r="D737" s="8"/>
      <c r="E737" s="13" t="str">
        <f>IF(ISBLANK(D737), "", VLOOKUP(D737, Config!$F$6:$G$30, 2, FALSE()))</f>
        <v/>
      </c>
      <c r="F737" s="16"/>
    </row>
    <row r="738" ht="15.0" customHeight="1">
      <c r="A738" s="12"/>
      <c r="B738" s="13"/>
      <c r="C738" s="8"/>
      <c r="D738" s="8"/>
      <c r="E738" s="13" t="str">
        <f>IF(ISBLANK(D738), "", VLOOKUP(D738, Config!$F$6:$G$30, 2, FALSE()))</f>
        <v/>
      </c>
      <c r="F738" s="16"/>
    </row>
    <row r="739" ht="15.0" customHeight="1">
      <c r="A739" s="12"/>
      <c r="B739" s="13"/>
      <c r="C739" s="8"/>
      <c r="D739" s="8"/>
      <c r="E739" s="13" t="str">
        <f>IF(ISBLANK(D739), "", VLOOKUP(D739, Config!$F$6:$G$30, 2, FALSE()))</f>
        <v/>
      </c>
      <c r="F739" s="16"/>
    </row>
    <row r="740" ht="15.0" customHeight="1">
      <c r="A740" s="12"/>
      <c r="B740" s="13"/>
      <c r="C740" s="8"/>
      <c r="D740" s="8"/>
      <c r="E740" s="13" t="str">
        <f>IF(ISBLANK(D740), "", VLOOKUP(D740, Config!$F$6:$G$30, 2, FALSE()))</f>
        <v/>
      </c>
      <c r="F740" s="16"/>
    </row>
    <row r="741" ht="15.0" customHeight="1">
      <c r="A741" s="12"/>
      <c r="B741" s="13"/>
      <c r="C741" s="8"/>
      <c r="D741" s="8"/>
      <c r="E741" s="13" t="str">
        <f>IF(ISBLANK(D741), "", VLOOKUP(D741, Config!$F$6:$G$30, 2, FALSE()))</f>
        <v/>
      </c>
      <c r="F741" s="16"/>
    </row>
    <row r="742" ht="15.0" customHeight="1">
      <c r="A742" s="12"/>
      <c r="B742" s="13"/>
      <c r="C742" s="8"/>
      <c r="D742" s="8"/>
      <c r="E742" s="13" t="str">
        <f>IF(ISBLANK(D742), "", VLOOKUP(D742, Config!$F$6:$G$30, 2, FALSE()))</f>
        <v/>
      </c>
      <c r="F742" s="16"/>
    </row>
    <row r="743" ht="15.0" customHeight="1">
      <c r="A743" s="12"/>
      <c r="B743" s="13"/>
      <c r="C743" s="8"/>
      <c r="D743" s="8"/>
      <c r="E743" s="13" t="str">
        <f>IF(ISBLANK(D743), "", VLOOKUP(D743, Config!$F$6:$G$30, 2, FALSE()))</f>
        <v/>
      </c>
      <c r="F743" s="16"/>
    </row>
    <row r="744" ht="15.0" customHeight="1">
      <c r="A744" s="12"/>
      <c r="B744" s="13"/>
      <c r="C744" s="8"/>
      <c r="D744" s="8"/>
      <c r="E744" s="13" t="str">
        <f>IF(ISBLANK(D744), "", VLOOKUP(D744, Config!$F$6:$G$30, 2, FALSE()))</f>
        <v/>
      </c>
      <c r="F744" s="16"/>
    </row>
    <row r="745" ht="15.0" customHeight="1">
      <c r="A745" s="12"/>
      <c r="B745" s="13"/>
      <c r="C745" s="8"/>
      <c r="D745" s="8"/>
      <c r="E745" s="13" t="str">
        <f>IF(ISBLANK(D745), "", VLOOKUP(D745, Config!$F$6:$G$30, 2, FALSE()))</f>
        <v/>
      </c>
      <c r="F745" s="16"/>
    </row>
    <row r="746" ht="15.0" customHeight="1">
      <c r="A746" s="12"/>
      <c r="B746" s="13"/>
      <c r="C746" s="8"/>
      <c r="D746" s="8"/>
      <c r="E746" s="13" t="str">
        <f>IF(ISBLANK(D746), "", VLOOKUP(D746, Config!$F$6:$G$30, 2, FALSE()))</f>
        <v/>
      </c>
      <c r="F746" s="16"/>
    </row>
    <row r="747" ht="15.0" customHeight="1">
      <c r="A747" s="12"/>
      <c r="B747" s="13"/>
      <c r="C747" s="8"/>
      <c r="D747" s="8"/>
      <c r="E747" s="13" t="str">
        <f>IF(ISBLANK(D747), "", VLOOKUP(D747, Config!$F$6:$G$30, 2, FALSE()))</f>
        <v/>
      </c>
      <c r="F747" s="16"/>
    </row>
    <row r="748" ht="15.0" customHeight="1">
      <c r="A748" s="12"/>
      <c r="B748" s="13"/>
      <c r="C748" s="8"/>
      <c r="D748" s="8"/>
      <c r="E748" s="13" t="str">
        <f>IF(ISBLANK(D748), "", VLOOKUP(D748, Config!$F$6:$G$30, 2, FALSE()))</f>
        <v/>
      </c>
      <c r="F748" s="16"/>
    </row>
    <row r="749" ht="15.0" customHeight="1">
      <c r="A749" s="12"/>
      <c r="B749" s="13"/>
      <c r="C749" s="8"/>
      <c r="D749" s="8"/>
      <c r="E749" s="13" t="str">
        <f>IF(ISBLANK(D749), "", VLOOKUP(D749, Config!$F$6:$G$30, 2, FALSE()))</f>
        <v/>
      </c>
      <c r="F749" s="16"/>
    </row>
    <row r="750" ht="15.0" customHeight="1">
      <c r="A750" s="12"/>
      <c r="B750" s="13"/>
      <c r="C750" s="8"/>
      <c r="D750" s="8"/>
      <c r="E750" s="13" t="str">
        <f>IF(ISBLANK(D750), "", VLOOKUP(D750, Config!$F$6:$G$30, 2, FALSE()))</f>
        <v/>
      </c>
      <c r="F750" s="16"/>
    </row>
    <row r="751" ht="15.0" customHeight="1">
      <c r="A751" s="12"/>
      <c r="B751" s="13"/>
      <c r="C751" s="8"/>
      <c r="D751" s="8"/>
      <c r="E751" s="13" t="str">
        <f>IF(ISBLANK(D751), "", VLOOKUP(D751, Config!$F$6:$G$30, 2, FALSE()))</f>
        <v/>
      </c>
      <c r="F751" s="16"/>
    </row>
    <row r="752" ht="15.0" customHeight="1">
      <c r="A752" s="12"/>
      <c r="B752" s="13"/>
      <c r="C752" s="8"/>
      <c r="D752" s="8"/>
      <c r="E752" s="13" t="str">
        <f>IF(ISBLANK(D752), "", VLOOKUP(D752, Config!$F$6:$G$30, 2, FALSE()))</f>
        <v/>
      </c>
      <c r="F752" s="16"/>
    </row>
    <row r="753" ht="15.0" customHeight="1">
      <c r="A753" s="12"/>
      <c r="B753" s="13"/>
      <c r="C753" s="8"/>
      <c r="D753" s="8"/>
      <c r="E753" s="13" t="str">
        <f>IF(ISBLANK(D753), "", VLOOKUP(D753, Config!$F$6:$G$30, 2, FALSE()))</f>
        <v/>
      </c>
      <c r="F753" s="16"/>
    </row>
    <row r="754" ht="15.0" customHeight="1">
      <c r="A754" s="12"/>
      <c r="B754" s="13"/>
      <c r="C754" s="8"/>
      <c r="D754" s="8"/>
      <c r="E754" s="13" t="str">
        <f>IF(ISBLANK(D754), "", VLOOKUP(D754, Config!$F$6:$G$30, 2, FALSE()))</f>
        <v/>
      </c>
      <c r="F754" s="16"/>
    </row>
    <row r="755" ht="15.0" customHeight="1">
      <c r="A755" s="12"/>
      <c r="B755" s="13"/>
      <c r="C755" s="8"/>
      <c r="D755" s="8"/>
      <c r="E755" s="13" t="str">
        <f>IF(ISBLANK(D755), "", VLOOKUP(D755, Config!$F$6:$G$30, 2, FALSE()))</f>
        <v/>
      </c>
      <c r="F755" s="16"/>
    </row>
    <row r="756" ht="15.0" customHeight="1">
      <c r="A756" s="12"/>
      <c r="B756" s="13"/>
      <c r="C756" s="8"/>
      <c r="D756" s="8"/>
      <c r="E756" s="13" t="str">
        <f>IF(ISBLANK(D756), "", VLOOKUP(D756, Config!$F$6:$G$30, 2, FALSE()))</f>
        <v/>
      </c>
      <c r="F756" s="16"/>
    </row>
    <row r="757" ht="15.0" customHeight="1">
      <c r="A757" s="12"/>
      <c r="B757" s="13"/>
      <c r="C757" s="8"/>
      <c r="D757" s="8"/>
      <c r="E757" s="13" t="str">
        <f>IF(ISBLANK(D757), "", VLOOKUP(D757, Config!$F$6:$G$30, 2, FALSE()))</f>
        <v/>
      </c>
      <c r="F757" s="16"/>
    </row>
    <row r="758" ht="15.0" customHeight="1">
      <c r="A758" s="12"/>
      <c r="B758" s="13"/>
      <c r="C758" s="8"/>
      <c r="D758" s="8"/>
      <c r="E758" s="13" t="str">
        <f>IF(ISBLANK(D758), "", VLOOKUP(D758, Config!$F$6:$G$30, 2, FALSE()))</f>
        <v/>
      </c>
      <c r="F758" s="16"/>
    </row>
    <row r="759" ht="15.0" customHeight="1">
      <c r="A759" s="12"/>
      <c r="B759" s="13"/>
      <c r="C759" s="8"/>
      <c r="D759" s="8"/>
      <c r="E759" s="13" t="str">
        <f>IF(ISBLANK(D759), "", VLOOKUP(D759, Config!$F$6:$G$30, 2, FALSE()))</f>
        <v/>
      </c>
      <c r="F759" s="16"/>
    </row>
    <row r="760" ht="15.0" customHeight="1">
      <c r="A760" s="12"/>
      <c r="B760" s="13"/>
      <c r="C760" s="8"/>
      <c r="D760" s="8"/>
      <c r="E760" s="13" t="str">
        <f>IF(ISBLANK(D760), "", VLOOKUP(D760, Config!$F$6:$G$30, 2, FALSE()))</f>
        <v/>
      </c>
      <c r="F760" s="16"/>
    </row>
    <row r="761" ht="15.0" customHeight="1">
      <c r="A761" s="12"/>
      <c r="B761" s="13"/>
      <c r="C761" s="8"/>
      <c r="D761" s="8"/>
      <c r="E761" s="13" t="str">
        <f>IF(ISBLANK(D761), "", VLOOKUP(D761, Config!$F$6:$G$30, 2, FALSE()))</f>
        <v/>
      </c>
      <c r="F761" s="16"/>
    </row>
    <row r="762" ht="15.0" customHeight="1">
      <c r="A762" s="12"/>
      <c r="B762" s="13"/>
      <c r="C762" s="8"/>
      <c r="D762" s="8"/>
      <c r="E762" s="13" t="str">
        <f>IF(ISBLANK(D762), "", VLOOKUP(D762, Config!$F$6:$G$30, 2, FALSE()))</f>
        <v/>
      </c>
      <c r="F762" s="16"/>
    </row>
    <row r="763" ht="15.0" customHeight="1">
      <c r="A763" s="12"/>
      <c r="B763" s="13"/>
      <c r="C763" s="8"/>
      <c r="D763" s="8"/>
      <c r="E763" s="13" t="str">
        <f>IF(ISBLANK(D763), "", VLOOKUP(D763, Config!$F$6:$G$30, 2, FALSE()))</f>
        <v/>
      </c>
      <c r="F763" s="16"/>
    </row>
    <row r="764" ht="15.0" customHeight="1">
      <c r="A764" s="12"/>
      <c r="B764" s="13"/>
      <c r="C764" s="8"/>
      <c r="D764" s="8"/>
      <c r="E764" s="13" t="str">
        <f>IF(ISBLANK(D764), "", VLOOKUP(D764, Config!$F$6:$G$30, 2, FALSE()))</f>
        <v/>
      </c>
      <c r="F764" s="16"/>
    </row>
    <row r="765" ht="15.0" customHeight="1">
      <c r="A765" s="12"/>
      <c r="B765" s="13"/>
      <c r="C765" s="8"/>
      <c r="D765" s="8"/>
      <c r="E765" s="13" t="str">
        <f>IF(ISBLANK(D765), "", VLOOKUP(D765, Config!$F$6:$G$30, 2, FALSE()))</f>
        <v/>
      </c>
      <c r="F765" s="16"/>
    </row>
    <row r="766" ht="15.0" customHeight="1">
      <c r="A766" s="12"/>
      <c r="B766" s="13"/>
      <c r="C766" s="8"/>
      <c r="D766" s="8"/>
      <c r="E766" s="13" t="str">
        <f>IF(ISBLANK(D766), "", VLOOKUP(D766, Config!$F$6:$G$30, 2, FALSE()))</f>
        <v/>
      </c>
      <c r="F766" s="16"/>
    </row>
    <row r="767" ht="15.0" customHeight="1">
      <c r="A767" s="12"/>
      <c r="B767" s="13"/>
      <c r="C767" s="8"/>
      <c r="D767" s="8"/>
      <c r="E767" s="13" t="str">
        <f>IF(ISBLANK(D767), "", VLOOKUP(D767, Config!$F$6:$G$30, 2, FALSE()))</f>
        <v/>
      </c>
      <c r="F767" s="16"/>
    </row>
    <row r="768" ht="15.0" customHeight="1">
      <c r="A768" s="12"/>
      <c r="B768" s="13"/>
      <c r="C768" s="8"/>
      <c r="D768" s="8"/>
      <c r="E768" s="13" t="str">
        <f>IF(ISBLANK(D768), "", VLOOKUP(D768, Config!$F$6:$G$30, 2, FALSE()))</f>
        <v/>
      </c>
      <c r="F768" s="16"/>
    </row>
    <row r="769" ht="15.0" customHeight="1">
      <c r="A769" s="12"/>
      <c r="B769" s="13"/>
      <c r="C769" s="8"/>
      <c r="D769" s="8"/>
      <c r="E769" s="13" t="str">
        <f>IF(ISBLANK(D769), "", VLOOKUP(D769, Config!$F$6:$G$30, 2, FALSE()))</f>
        <v/>
      </c>
      <c r="F769" s="16"/>
    </row>
    <row r="770" ht="15.0" customHeight="1">
      <c r="A770" s="12"/>
      <c r="B770" s="13"/>
      <c r="C770" s="8"/>
      <c r="D770" s="8"/>
      <c r="E770" s="13" t="str">
        <f>IF(ISBLANK(D770), "", VLOOKUP(D770, Config!$F$6:$G$30, 2, FALSE()))</f>
        <v/>
      </c>
      <c r="F770" s="16"/>
    </row>
    <row r="771" ht="15.0" customHeight="1">
      <c r="A771" s="12"/>
      <c r="B771" s="13"/>
      <c r="C771" s="8"/>
      <c r="D771" s="8"/>
      <c r="E771" s="13" t="str">
        <f>IF(ISBLANK(D771), "", VLOOKUP(D771, Config!$F$6:$G$30, 2, FALSE()))</f>
        <v/>
      </c>
      <c r="F771" s="16"/>
    </row>
    <row r="772" ht="15.0" customHeight="1">
      <c r="A772" s="12"/>
      <c r="B772" s="13"/>
      <c r="C772" s="8"/>
      <c r="D772" s="8"/>
      <c r="E772" s="13" t="str">
        <f>IF(ISBLANK(D772), "", VLOOKUP(D772, Config!$F$6:$G$30, 2, FALSE()))</f>
        <v/>
      </c>
      <c r="F772" s="16"/>
    </row>
    <row r="773" ht="15.0" customHeight="1">
      <c r="A773" s="12"/>
      <c r="B773" s="13"/>
      <c r="C773" s="8"/>
      <c r="D773" s="8"/>
      <c r="E773" s="13" t="str">
        <f>IF(ISBLANK(D773), "", VLOOKUP(D773, Config!$F$6:$G$30, 2, FALSE()))</f>
        <v/>
      </c>
      <c r="F773" s="16"/>
    </row>
    <row r="774" ht="15.0" customHeight="1">
      <c r="A774" s="12"/>
      <c r="B774" s="13"/>
      <c r="C774" s="8"/>
      <c r="D774" s="8"/>
      <c r="E774" s="13" t="str">
        <f>IF(ISBLANK(D774), "", VLOOKUP(D774, Config!$F$6:$G$30, 2, FALSE()))</f>
        <v/>
      </c>
      <c r="F774" s="16"/>
    </row>
    <row r="775" ht="15.0" customHeight="1">
      <c r="A775" s="12"/>
      <c r="B775" s="13"/>
      <c r="C775" s="8"/>
      <c r="D775" s="8"/>
      <c r="E775" s="13" t="str">
        <f>IF(ISBLANK(D775), "", VLOOKUP(D775, Config!$F$6:$G$30, 2, FALSE()))</f>
        <v/>
      </c>
      <c r="F775" s="16"/>
    </row>
    <row r="776" ht="15.0" customHeight="1">
      <c r="A776" s="12"/>
      <c r="B776" s="13"/>
      <c r="C776" s="8"/>
      <c r="D776" s="8"/>
      <c r="E776" s="13" t="str">
        <f>IF(ISBLANK(D776), "", VLOOKUP(D776, Config!$F$6:$G$30, 2, FALSE()))</f>
        <v/>
      </c>
      <c r="F776" s="16"/>
    </row>
    <row r="777" ht="15.0" customHeight="1">
      <c r="A777" s="12"/>
      <c r="B777" s="13"/>
      <c r="C777" s="8"/>
      <c r="D777" s="8"/>
      <c r="E777" s="13" t="str">
        <f>IF(ISBLANK(D777), "", VLOOKUP(D777, Config!$F$6:$G$30, 2, FALSE()))</f>
        <v/>
      </c>
      <c r="F777" s="16"/>
    </row>
    <row r="778" ht="15.0" customHeight="1">
      <c r="A778" s="12"/>
      <c r="B778" s="13"/>
      <c r="C778" s="8"/>
      <c r="D778" s="8"/>
      <c r="E778" s="13" t="str">
        <f>IF(ISBLANK(D778), "", VLOOKUP(D778, Config!$F$6:$G$30, 2, FALSE()))</f>
        <v/>
      </c>
      <c r="F778" s="16"/>
    </row>
    <row r="779" ht="15.0" customHeight="1">
      <c r="A779" s="12"/>
      <c r="B779" s="13"/>
      <c r="C779" s="8"/>
      <c r="D779" s="8"/>
      <c r="E779" s="13" t="str">
        <f>IF(ISBLANK(D779), "", VLOOKUP(D779, Config!$F$6:$G$30, 2, FALSE()))</f>
        <v/>
      </c>
      <c r="F779" s="16"/>
    </row>
    <row r="780" ht="15.0" customHeight="1">
      <c r="A780" s="12"/>
      <c r="B780" s="13"/>
      <c r="C780" s="8"/>
      <c r="D780" s="8"/>
      <c r="E780" s="13" t="str">
        <f>IF(ISBLANK(D780), "", VLOOKUP(D780, Config!$F$6:$G$30, 2, FALSE()))</f>
        <v/>
      </c>
      <c r="F780" s="16"/>
    </row>
    <row r="781" ht="15.0" customHeight="1">
      <c r="A781" s="12"/>
      <c r="B781" s="13"/>
      <c r="C781" s="8"/>
      <c r="D781" s="8"/>
      <c r="E781" s="13" t="str">
        <f>IF(ISBLANK(D781), "", VLOOKUP(D781, Config!$F$6:$G$30, 2, FALSE()))</f>
        <v/>
      </c>
      <c r="F781" s="16"/>
    </row>
    <row r="782" ht="15.0" customHeight="1">
      <c r="A782" s="12"/>
      <c r="B782" s="13"/>
      <c r="C782" s="8"/>
      <c r="D782" s="8"/>
      <c r="E782" s="13" t="str">
        <f>IF(ISBLANK(D782), "", VLOOKUP(D782, Config!$F$6:$G$30, 2, FALSE()))</f>
        <v/>
      </c>
      <c r="F782" s="16"/>
    </row>
    <row r="783" ht="15.0" customHeight="1">
      <c r="A783" s="12"/>
      <c r="B783" s="13"/>
      <c r="C783" s="8"/>
      <c r="D783" s="8"/>
      <c r="E783" s="13" t="str">
        <f>IF(ISBLANK(D783), "", VLOOKUP(D783, Config!$F$6:$G$30, 2, FALSE()))</f>
        <v/>
      </c>
      <c r="F783" s="16"/>
    </row>
    <row r="784" ht="15.0" customHeight="1">
      <c r="A784" s="12"/>
      <c r="B784" s="13"/>
      <c r="C784" s="8"/>
      <c r="D784" s="8"/>
      <c r="E784" s="13" t="str">
        <f>IF(ISBLANK(D784), "", VLOOKUP(D784, Config!$F$6:$G$30, 2, FALSE()))</f>
        <v/>
      </c>
      <c r="F784" s="16"/>
    </row>
    <row r="785" ht="15.0" customHeight="1">
      <c r="A785" s="12"/>
      <c r="B785" s="13"/>
      <c r="C785" s="8"/>
      <c r="D785" s="8"/>
      <c r="E785" s="13" t="str">
        <f>IF(ISBLANK(D785), "", VLOOKUP(D785, Config!$F$6:$G$30, 2, FALSE()))</f>
        <v/>
      </c>
      <c r="F785" s="16"/>
    </row>
    <row r="786" ht="15.0" customHeight="1">
      <c r="A786" s="12"/>
      <c r="B786" s="13"/>
      <c r="C786" s="8"/>
      <c r="D786" s="8"/>
      <c r="E786" s="13" t="str">
        <f>IF(ISBLANK(D786), "", VLOOKUP(D786, Config!$F$6:$G$30, 2, FALSE()))</f>
        <v/>
      </c>
      <c r="F786" s="16"/>
    </row>
    <row r="787" ht="15.0" customHeight="1">
      <c r="A787" s="12"/>
      <c r="B787" s="13"/>
      <c r="C787" s="8"/>
      <c r="D787" s="8"/>
      <c r="E787" s="13" t="str">
        <f>IF(ISBLANK(D787), "", VLOOKUP(D787, Config!$F$6:$G$30, 2, FALSE()))</f>
        <v/>
      </c>
      <c r="F787" s="16"/>
    </row>
    <row r="788" ht="15.0" customHeight="1">
      <c r="A788" s="12"/>
      <c r="B788" s="13"/>
      <c r="C788" s="8"/>
      <c r="D788" s="8"/>
      <c r="E788" s="13" t="str">
        <f>IF(ISBLANK(D788), "", VLOOKUP(D788, Config!$F$6:$G$30, 2, FALSE()))</f>
        <v/>
      </c>
      <c r="F788" s="16"/>
    </row>
    <row r="789" ht="15.0" customHeight="1">
      <c r="A789" s="12"/>
      <c r="B789" s="13"/>
      <c r="C789" s="8"/>
      <c r="D789" s="8"/>
      <c r="E789" s="13" t="str">
        <f>IF(ISBLANK(D789), "", VLOOKUP(D789, Config!$F$6:$G$30, 2, FALSE()))</f>
        <v/>
      </c>
      <c r="F789" s="16"/>
    </row>
    <row r="790" ht="15.0" customHeight="1">
      <c r="A790" s="12"/>
      <c r="B790" s="13"/>
      <c r="C790" s="8"/>
      <c r="D790" s="8"/>
      <c r="E790" s="13" t="str">
        <f>IF(ISBLANK(D790), "", VLOOKUP(D790, Config!$F$6:$G$30, 2, FALSE()))</f>
        <v/>
      </c>
      <c r="F790" s="16"/>
    </row>
    <row r="791" ht="15.0" customHeight="1">
      <c r="A791" s="12"/>
      <c r="B791" s="13"/>
      <c r="C791" s="8"/>
      <c r="D791" s="8"/>
      <c r="E791" s="13" t="str">
        <f>IF(ISBLANK(D791), "", VLOOKUP(D791, Config!$F$6:$G$30, 2, FALSE()))</f>
        <v/>
      </c>
      <c r="F791" s="16"/>
    </row>
    <row r="792" ht="15.0" customHeight="1">
      <c r="A792" s="12"/>
      <c r="B792" s="13"/>
      <c r="C792" s="8"/>
      <c r="D792" s="8"/>
      <c r="E792" s="13" t="str">
        <f>IF(ISBLANK(D792), "", VLOOKUP(D792, Config!$F$6:$G$30, 2, FALSE()))</f>
        <v/>
      </c>
      <c r="F792" s="16"/>
    </row>
    <row r="793" ht="15.0" customHeight="1">
      <c r="A793" s="12"/>
      <c r="B793" s="13"/>
      <c r="C793" s="8"/>
      <c r="D793" s="8"/>
      <c r="E793" s="13" t="str">
        <f>IF(ISBLANK(D793), "", VLOOKUP(D793, Config!$F$6:$G$30, 2, FALSE()))</f>
        <v/>
      </c>
      <c r="F793" s="16"/>
    </row>
    <row r="794" ht="15.0" customHeight="1">
      <c r="A794" s="12"/>
      <c r="B794" s="13"/>
      <c r="C794" s="8"/>
      <c r="D794" s="8"/>
      <c r="E794" s="13" t="str">
        <f>IF(ISBLANK(D794), "", VLOOKUP(D794, Config!$F$6:$G$30, 2, FALSE()))</f>
        <v/>
      </c>
      <c r="F794" s="16"/>
    </row>
    <row r="795" ht="15.0" customHeight="1">
      <c r="A795" s="12"/>
      <c r="B795" s="13"/>
      <c r="C795" s="8"/>
      <c r="D795" s="8"/>
      <c r="E795" s="13" t="str">
        <f>IF(ISBLANK(D795), "", VLOOKUP(D795, Config!$F$6:$G$30, 2, FALSE()))</f>
        <v/>
      </c>
      <c r="F795" s="16"/>
    </row>
    <row r="796" ht="15.0" customHeight="1">
      <c r="A796" s="12"/>
      <c r="B796" s="13"/>
      <c r="C796" s="8"/>
      <c r="D796" s="8"/>
      <c r="E796" s="13" t="str">
        <f>IF(ISBLANK(D796), "", VLOOKUP(D796, Config!$F$6:$G$30, 2, FALSE()))</f>
        <v/>
      </c>
      <c r="F796" s="16"/>
    </row>
    <row r="797" ht="15.0" customHeight="1">
      <c r="A797" s="12"/>
      <c r="B797" s="13"/>
      <c r="C797" s="8"/>
      <c r="D797" s="8"/>
      <c r="E797" s="13" t="str">
        <f>IF(ISBLANK(D797), "", VLOOKUP(D797, Config!$F$6:$G$30, 2, FALSE()))</f>
        <v/>
      </c>
      <c r="F797" s="16"/>
    </row>
    <row r="798" ht="15.0" customHeight="1">
      <c r="A798" s="12"/>
      <c r="B798" s="13"/>
      <c r="C798" s="8"/>
      <c r="D798" s="8"/>
      <c r="E798" s="13" t="str">
        <f>IF(ISBLANK(D798), "", VLOOKUP(D798, Config!$F$6:$G$30, 2, FALSE()))</f>
        <v/>
      </c>
      <c r="F798" s="16"/>
    </row>
    <row r="799" ht="15.0" customHeight="1">
      <c r="A799" s="12"/>
      <c r="B799" s="13"/>
      <c r="C799" s="8"/>
      <c r="D799" s="8"/>
      <c r="E799" s="13" t="str">
        <f>IF(ISBLANK(D799), "", VLOOKUP(D799, Config!$F$6:$G$30, 2, FALSE()))</f>
        <v/>
      </c>
      <c r="F799" s="16"/>
    </row>
    <row r="800" ht="15.0" customHeight="1">
      <c r="A800" s="12"/>
      <c r="B800" s="13"/>
      <c r="C800" s="8"/>
      <c r="D800" s="8"/>
      <c r="E800" s="13" t="str">
        <f>IF(ISBLANK(D800), "", VLOOKUP(D800, Config!$F$6:$G$30, 2, FALSE()))</f>
        <v/>
      </c>
      <c r="F800" s="16"/>
    </row>
    <row r="801" ht="15.0" customHeight="1">
      <c r="A801" s="12"/>
      <c r="B801" s="13"/>
      <c r="C801" s="8"/>
      <c r="D801" s="8"/>
      <c r="E801" s="13" t="str">
        <f>IF(ISBLANK(D801), "", VLOOKUP(D801, Config!$F$6:$G$30, 2, FALSE()))</f>
        <v/>
      </c>
      <c r="F801" s="16"/>
    </row>
    <row r="802" ht="15.0" customHeight="1">
      <c r="A802" s="12"/>
      <c r="B802" s="13"/>
      <c r="C802" s="8"/>
      <c r="D802" s="8"/>
      <c r="E802" s="13" t="str">
        <f>IF(ISBLANK(D802), "", VLOOKUP(D802, Config!$F$6:$G$30, 2, FALSE()))</f>
        <v/>
      </c>
      <c r="F802" s="16"/>
    </row>
    <row r="803" ht="15.0" customHeight="1">
      <c r="A803" s="12"/>
      <c r="B803" s="13"/>
      <c r="C803" s="8"/>
      <c r="D803" s="8"/>
      <c r="E803" s="13" t="str">
        <f>IF(ISBLANK(D803), "", VLOOKUP(D803, Config!$F$6:$G$30, 2, FALSE()))</f>
        <v/>
      </c>
      <c r="F803" s="16"/>
    </row>
    <row r="804" ht="15.0" customHeight="1">
      <c r="A804" s="12"/>
      <c r="B804" s="13"/>
      <c r="C804" s="8"/>
      <c r="D804" s="8"/>
      <c r="E804" s="13" t="str">
        <f>IF(ISBLANK(D804), "", VLOOKUP(D804, Config!$F$6:$G$30, 2, FALSE()))</f>
        <v/>
      </c>
      <c r="F804" s="16"/>
    </row>
    <row r="805" ht="15.0" customHeight="1">
      <c r="A805" s="12"/>
      <c r="B805" s="13"/>
      <c r="C805" s="8"/>
      <c r="D805" s="8"/>
      <c r="E805" s="13" t="str">
        <f>IF(ISBLANK(D805), "", VLOOKUP(D805, Config!$F$6:$G$30, 2, FALSE()))</f>
        <v/>
      </c>
      <c r="F805" s="16"/>
    </row>
    <row r="806" ht="15.0" customHeight="1">
      <c r="A806" s="12"/>
      <c r="B806" s="13"/>
      <c r="C806" s="8"/>
      <c r="D806" s="8"/>
      <c r="E806" s="13" t="str">
        <f>IF(ISBLANK(D806), "", VLOOKUP(D806, Config!$F$6:$G$30, 2, FALSE()))</f>
        <v/>
      </c>
      <c r="F806" s="16"/>
    </row>
    <row r="807" ht="15.0" customHeight="1">
      <c r="A807" s="12"/>
      <c r="B807" s="13"/>
      <c r="C807" s="8"/>
      <c r="D807" s="8"/>
      <c r="E807" s="13" t="str">
        <f>IF(ISBLANK(D807), "", VLOOKUP(D807, Config!$F$6:$G$30, 2, FALSE()))</f>
        <v/>
      </c>
      <c r="F807" s="16"/>
    </row>
    <row r="808" ht="15.0" customHeight="1">
      <c r="A808" s="12"/>
      <c r="B808" s="13"/>
      <c r="C808" s="8"/>
      <c r="D808" s="8"/>
      <c r="E808" s="13" t="str">
        <f>IF(ISBLANK(D808), "", VLOOKUP(D808, Config!$F$6:$G$30, 2, FALSE()))</f>
        <v/>
      </c>
      <c r="F808" s="16"/>
    </row>
    <row r="809" ht="15.0" customHeight="1">
      <c r="A809" s="12"/>
      <c r="B809" s="13"/>
      <c r="C809" s="8"/>
      <c r="D809" s="8"/>
      <c r="E809" s="13" t="str">
        <f>IF(ISBLANK(D809), "", VLOOKUP(D809, Config!$F$6:$G$30, 2, FALSE()))</f>
        <v/>
      </c>
      <c r="F809" s="16"/>
    </row>
    <row r="810" ht="15.0" customHeight="1">
      <c r="A810" s="12"/>
      <c r="B810" s="13"/>
      <c r="C810" s="8"/>
      <c r="D810" s="8"/>
      <c r="E810" s="13" t="str">
        <f>IF(ISBLANK(D810), "", VLOOKUP(D810, Config!$F$6:$G$30, 2, FALSE()))</f>
        <v/>
      </c>
      <c r="F810" s="16"/>
    </row>
    <row r="811" ht="15.0" customHeight="1">
      <c r="A811" s="12"/>
      <c r="B811" s="13"/>
      <c r="C811" s="8"/>
      <c r="D811" s="8"/>
      <c r="E811" s="13" t="str">
        <f>IF(ISBLANK(D811), "", VLOOKUP(D811, Config!$F$6:$G$30, 2, FALSE()))</f>
        <v/>
      </c>
      <c r="F811" s="16"/>
    </row>
    <row r="812" ht="15.0" customHeight="1">
      <c r="A812" s="12"/>
      <c r="B812" s="13"/>
      <c r="C812" s="8"/>
      <c r="D812" s="8"/>
      <c r="E812" s="13" t="str">
        <f>IF(ISBLANK(D812), "", VLOOKUP(D812, Config!$F$6:$G$30, 2, FALSE()))</f>
        <v/>
      </c>
      <c r="F812" s="16"/>
    </row>
    <row r="813" ht="15.0" customHeight="1">
      <c r="A813" s="12"/>
      <c r="B813" s="13"/>
      <c r="C813" s="8"/>
      <c r="D813" s="8"/>
      <c r="E813" s="13" t="str">
        <f>IF(ISBLANK(D813), "", VLOOKUP(D813, Config!$F$6:$G$30, 2, FALSE()))</f>
        <v/>
      </c>
      <c r="F813" s="16"/>
    </row>
    <row r="814" ht="15.0" customHeight="1">
      <c r="A814" s="12"/>
      <c r="B814" s="13"/>
      <c r="C814" s="8"/>
      <c r="D814" s="8"/>
      <c r="E814" s="13" t="str">
        <f>IF(ISBLANK(D814), "", VLOOKUP(D814, Config!$F$6:$G$30, 2, FALSE()))</f>
        <v/>
      </c>
      <c r="F814" s="16"/>
    </row>
    <row r="815" ht="15.0" customHeight="1">
      <c r="A815" s="12"/>
      <c r="B815" s="13"/>
      <c r="C815" s="8"/>
      <c r="D815" s="8"/>
      <c r="E815" s="13" t="str">
        <f>IF(ISBLANK(D815), "", VLOOKUP(D815, Config!$F$6:$G$30, 2, FALSE()))</f>
        <v/>
      </c>
      <c r="F815" s="16"/>
    </row>
    <row r="816" ht="15.0" customHeight="1">
      <c r="A816" s="12"/>
      <c r="B816" s="13"/>
      <c r="C816" s="8"/>
      <c r="D816" s="8"/>
      <c r="E816" s="13" t="str">
        <f>IF(ISBLANK(D816), "", VLOOKUP(D816, Config!$F$6:$G$30, 2, FALSE()))</f>
        <v/>
      </c>
      <c r="F816" s="16"/>
    </row>
    <row r="817" ht="15.0" customHeight="1">
      <c r="A817" s="12"/>
      <c r="B817" s="13"/>
      <c r="C817" s="8"/>
      <c r="D817" s="8"/>
      <c r="E817" s="13" t="str">
        <f>IF(ISBLANK(D817), "", VLOOKUP(D817, Config!$F$6:$G$30, 2, FALSE()))</f>
        <v/>
      </c>
      <c r="F817" s="16"/>
    </row>
    <row r="818" ht="15.0" customHeight="1">
      <c r="A818" s="12"/>
      <c r="B818" s="13"/>
      <c r="C818" s="8"/>
      <c r="D818" s="8"/>
      <c r="E818" s="13" t="str">
        <f>IF(ISBLANK(D818), "", VLOOKUP(D818, Config!$F$6:$G$30, 2, FALSE()))</f>
        <v/>
      </c>
      <c r="F818" s="16"/>
    </row>
    <row r="819" ht="15.0" customHeight="1">
      <c r="A819" s="12"/>
      <c r="B819" s="13"/>
      <c r="C819" s="8"/>
      <c r="D819" s="8"/>
      <c r="E819" s="13" t="str">
        <f>IF(ISBLANK(D819), "", VLOOKUP(D819, Config!$F$6:$G$30, 2, FALSE()))</f>
        <v/>
      </c>
      <c r="F819" s="16"/>
    </row>
    <row r="820" ht="15.0" customHeight="1">
      <c r="A820" s="12"/>
      <c r="B820" s="13"/>
      <c r="C820" s="8"/>
      <c r="D820" s="8"/>
      <c r="E820" s="13" t="str">
        <f>IF(ISBLANK(D820), "", VLOOKUP(D820, Config!$F$6:$G$30, 2, FALSE()))</f>
        <v/>
      </c>
      <c r="F820" s="16"/>
    </row>
    <row r="821" ht="15.0" customHeight="1">
      <c r="A821" s="12"/>
      <c r="B821" s="13"/>
      <c r="C821" s="8"/>
      <c r="D821" s="8"/>
      <c r="E821" s="13" t="str">
        <f>IF(ISBLANK(D821), "", VLOOKUP(D821, Config!$F$6:$G$30, 2, FALSE()))</f>
        <v/>
      </c>
      <c r="F821" s="16"/>
    </row>
    <row r="822" ht="15.0" customHeight="1">
      <c r="A822" s="12"/>
      <c r="B822" s="13"/>
      <c r="C822" s="8"/>
      <c r="D822" s="8"/>
      <c r="E822" s="13" t="str">
        <f>IF(ISBLANK(D822), "", VLOOKUP(D822, Config!$F$6:$G$30, 2, FALSE()))</f>
        <v/>
      </c>
      <c r="F822" s="16"/>
    </row>
    <row r="823" ht="15.0" customHeight="1">
      <c r="A823" s="12"/>
      <c r="B823" s="13"/>
      <c r="C823" s="8"/>
      <c r="D823" s="8"/>
      <c r="E823" s="13" t="str">
        <f>IF(ISBLANK(D823), "", VLOOKUP(D823, Config!$F$6:$G$30, 2, FALSE()))</f>
        <v/>
      </c>
      <c r="F823" s="16"/>
    </row>
    <row r="824" ht="15.0" customHeight="1">
      <c r="A824" s="12"/>
      <c r="B824" s="13"/>
      <c r="C824" s="8"/>
      <c r="D824" s="8"/>
      <c r="E824" s="13" t="str">
        <f>IF(ISBLANK(D824), "", VLOOKUP(D824, Config!$F$6:$G$30, 2, FALSE()))</f>
        <v/>
      </c>
      <c r="F824" s="16"/>
    </row>
    <row r="825" ht="15.0" customHeight="1">
      <c r="A825" s="12"/>
      <c r="B825" s="13"/>
      <c r="C825" s="8"/>
      <c r="D825" s="8"/>
      <c r="E825" s="13" t="str">
        <f>IF(ISBLANK(D825), "", VLOOKUP(D825, Config!$F$6:$G$30, 2, FALSE()))</f>
        <v/>
      </c>
      <c r="F825" s="16"/>
    </row>
    <row r="826" ht="15.0" customHeight="1">
      <c r="A826" s="12"/>
      <c r="B826" s="13"/>
      <c r="C826" s="8"/>
      <c r="D826" s="8"/>
      <c r="E826" s="13" t="str">
        <f>IF(ISBLANK(D826), "", VLOOKUP(D826, Config!$F$6:$G$30, 2, FALSE()))</f>
        <v/>
      </c>
      <c r="F826" s="16"/>
    </row>
    <row r="827" ht="15.0" customHeight="1">
      <c r="A827" s="12"/>
      <c r="B827" s="13"/>
      <c r="C827" s="8"/>
      <c r="D827" s="8"/>
      <c r="E827" s="13" t="str">
        <f>IF(ISBLANK(D827), "", VLOOKUP(D827, Config!$F$6:$G$30, 2, FALSE()))</f>
        <v/>
      </c>
      <c r="F827" s="16"/>
    </row>
    <row r="828" ht="15.0" customHeight="1">
      <c r="A828" s="12"/>
      <c r="B828" s="13"/>
      <c r="C828" s="8"/>
      <c r="D828" s="8"/>
      <c r="E828" s="13" t="str">
        <f>IF(ISBLANK(D828), "", VLOOKUP(D828, Config!$F$6:$G$30, 2, FALSE()))</f>
        <v/>
      </c>
      <c r="F828" s="16"/>
    </row>
    <row r="829" ht="15.0" customHeight="1">
      <c r="A829" s="12"/>
      <c r="B829" s="13"/>
      <c r="C829" s="8"/>
      <c r="D829" s="8"/>
      <c r="E829" s="13" t="str">
        <f>IF(ISBLANK(D829), "", VLOOKUP(D829, Config!$F$6:$G$30, 2, FALSE()))</f>
        <v/>
      </c>
      <c r="F829" s="16"/>
    </row>
    <row r="830" ht="15.0" customHeight="1">
      <c r="A830" s="12"/>
      <c r="B830" s="13"/>
      <c r="C830" s="8"/>
      <c r="D830" s="8"/>
      <c r="E830" s="13" t="str">
        <f>IF(ISBLANK(D830), "", VLOOKUP(D830, Config!$F$6:$G$30, 2, FALSE()))</f>
        <v/>
      </c>
      <c r="F830" s="16"/>
    </row>
    <row r="831" ht="15.0" customHeight="1">
      <c r="A831" s="12"/>
      <c r="B831" s="13"/>
      <c r="C831" s="8"/>
      <c r="D831" s="8"/>
      <c r="E831" s="13" t="str">
        <f>IF(ISBLANK(D831), "", VLOOKUP(D831, Config!$F$6:$G$30, 2, FALSE()))</f>
        <v/>
      </c>
      <c r="F831" s="16"/>
    </row>
    <row r="832" ht="15.0" customHeight="1">
      <c r="A832" s="12"/>
      <c r="B832" s="13"/>
      <c r="C832" s="8"/>
      <c r="D832" s="8"/>
      <c r="E832" s="13" t="str">
        <f>IF(ISBLANK(D832), "", VLOOKUP(D832, Config!$F$6:$G$30, 2, FALSE()))</f>
        <v/>
      </c>
      <c r="F832" s="16"/>
    </row>
    <row r="833" ht="15.0" customHeight="1">
      <c r="A833" s="12"/>
      <c r="B833" s="13"/>
      <c r="C833" s="8"/>
      <c r="D833" s="8"/>
      <c r="E833" s="13" t="str">
        <f>IF(ISBLANK(D833), "", VLOOKUP(D833, Config!$F$6:$G$30, 2, FALSE()))</f>
        <v/>
      </c>
      <c r="F833" s="16"/>
    </row>
    <row r="834" ht="15.0" customHeight="1">
      <c r="A834" s="12"/>
      <c r="B834" s="13"/>
      <c r="C834" s="8"/>
      <c r="D834" s="8"/>
      <c r="E834" s="13" t="str">
        <f>IF(ISBLANK(D834), "", VLOOKUP(D834, Config!$F$6:$G$30, 2, FALSE()))</f>
        <v/>
      </c>
      <c r="F834" s="16"/>
    </row>
    <row r="835" ht="15.0" customHeight="1">
      <c r="A835" s="12"/>
      <c r="B835" s="13"/>
      <c r="C835" s="8"/>
      <c r="D835" s="8"/>
      <c r="E835" s="13" t="str">
        <f>IF(ISBLANK(D835), "", VLOOKUP(D835, Config!$F$6:$G$30, 2, FALSE()))</f>
        <v/>
      </c>
      <c r="F835" s="16"/>
    </row>
    <row r="836" ht="15.0" customHeight="1">
      <c r="A836" s="12"/>
      <c r="B836" s="13"/>
      <c r="C836" s="8"/>
      <c r="D836" s="8"/>
      <c r="E836" s="13" t="str">
        <f>IF(ISBLANK(D836), "", VLOOKUP(D836, Config!$F$6:$G$30, 2, FALSE()))</f>
        <v/>
      </c>
      <c r="F836" s="16"/>
    </row>
    <row r="837" ht="15.0" customHeight="1">
      <c r="A837" s="12"/>
      <c r="B837" s="13"/>
      <c r="C837" s="8"/>
      <c r="D837" s="8"/>
      <c r="E837" s="13" t="str">
        <f>IF(ISBLANK(D837), "", VLOOKUP(D837, Config!$F$6:$G$30, 2, FALSE()))</f>
        <v/>
      </c>
      <c r="F837" s="16"/>
    </row>
    <row r="838" ht="15.0" customHeight="1">
      <c r="A838" s="12"/>
      <c r="B838" s="13"/>
      <c r="C838" s="8"/>
      <c r="D838" s="8"/>
      <c r="E838" s="13" t="str">
        <f>IF(ISBLANK(D838), "", VLOOKUP(D838, Config!$F$6:$G$30, 2, FALSE()))</f>
        <v/>
      </c>
      <c r="F838" s="16"/>
    </row>
    <row r="839" ht="15.0" customHeight="1">
      <c r="A839" s="12"/>
      <c r="B839" s="13"/>
      <c r="C839" s="8"/>
      <c r="D839" s="8"/>
      <c r="E839" s="13" t="str">
        <f>IF(ISBLANK(D839), "", VLOOKUP(D839, Config!$F$6:$G$30, 2, FALSE()))</f>
        <v/>
      </c>
      <c r="F839" s="16"/>
    </row>
    <row r="840" ht="15.0" customHeight="1">
      <c r="A840" s="12"/>
      <c r="B840" s="13"/>
      <c r="C840" s="8"/>
      <c r="D840" s="8"/>
      <c r="E840" s="13" t="str">
        <f>IF(ISBLANK(D840), "", VLOOKUP(D840, Config!$F$6:$G$30, 2, FALSE()))</f>
        <v/>
      </c>
      <c r="F840" s="16"/>
    </row>
    <row r="841" ht="15.0" customHeight="1">
      <c r="A841" s="12"/>
      <c r="B841" s="13"/>
      <c r="C841" s="8"/>
      <c r="D841" s="8"/>
      <c r="E841" s="13" t="str">
        <f>IF(ISBLANK(D841), "", VLOOKUP(D841, Config!$F$6:$G$30, 2, FALSE()))</f>
        <v/>
      </c>
      <c r="F841" s="16"/>
    </row>
    <row r="842" ht="15.0" customHeight="1">
      <c r="A842" s="12"/>
      <c r="B842" s="13"/>
      <c r="C842" s="8"/>
      <c r="D842" s="8"/>
      <c r="E842" s="13" t="str">
        <f>IF(ISBLANK(D842), "", VLOOKUP(D842, Config!$F$6:$G$30, 2, FALSE()))</f>
        <v/>
      </c>
      <c r="F842" s="16"/>
    </row>
    <row r="843" ht="15.0" customHeight="1">
      <c r="A843" s="12"/>
      <c r="B843" s="13"/>
      <c r="C843" s="8"/>
      <c r="D843" s="8"/>
      <c r="E843" s="13" t="str">
        <f>IF(ISBLANK(D843), "", VLOOKUP(D843, Config!$F$6:$G$30, 2, FALSE()))</f>
        <v/>
      </c>
      <c r="F843" s="16"/>
    </row>
    <row r="844" ht="15.0" customHeight="1">
      <c r="A844" s="12"/>
      <c r="B844" s="13"/>
      <c r="C844" s="8"/>
      <c r="D844" s="8"/>
      <c r="E844" s="13" t="str">
        <f>IF(ISBLANK(D844), "", VLOOKUP(D844, Config!$F$6:$G$30, 2, FALSE()))</f>
        <v/>
      </c>
      <c r="F844" s="16"/>
    </row>
    <row r="845" ht="15.0" customHeight="1">
      <c r="A845" s="12"/>
      <c r="B845" s="13"/>
      <c r="C845" s="8"/>
      <c r="D845" s="8"/>
      <c r="E845" s="13" t="str">
        <f>IF(ISBLANK(D845), "", VLOOKUP(D845, Config!$F$6:$G$30, 2, FALSE()))</f>
        <v/>
      </c>
      <c r="F845" s="16"/>
    </row>
    <row r="846" ht="15.0" customHeight="1">
      <c r="A846" s="12"/>
      <c r="B846" s="13"/>
      <c r="C846" s="8"/>
      <c r="D846" s="8"/>
      <c r="E846" s="13" t="str">
        <f>IF(ISBLANK(D846), "", VLOOKUP(D846, Config!$F$6:$G$30, 2, FALSE()))</f>
        <v/>
      </c>
      <c r="F846" s="16"/>
    </row>
    <row r="847" ht="15.0" customHeight="1">
      <c r="A847" s="12"/>
      <c r="B847" s="13"/>
      <c r="C847" s="8"/>
      <c r="D847" s="8"/>
      <c r="E847" s="13" t="str">
        <f>IF(ISBLANK(D847), "", VLOOKUP(D847, Config!$F$6:$G$30, 2, FALSE()))</f>
        <v/>
      </c>
      <c r="F847" s="16"/>
    </row>
    <row r="848" ht="15.0" customHeight="1">
      <c r="A848" s="12"/>
      <c r="B848" s="13"/>
      <c r="C848" s="8"/>
      <c r="D848" s="8"/>
      <c r="E848" s="13" t="str">
        <f>IF(ISBLANK(D848), "", VLOOKUP(D848, Config!$F$6:$G$30, 2, FALSE()))</f>
        <v/>
      </c>
      <c r="F848" s="16"/>
    </row>
    <row r="849" ht="15.0" customHeight="1">
      <c r="A849" s="12"/>
      <c r="B849" s="13"/>
      <c r="C849" s="8"/>
      <c r="D849" s="8"/>
      <c r="E849" s="13" t="str">
        <f>IF(ISBLANK(D849), "", VLOOKUP(D849, Config!$F$6:$G$30, 2, FALSE()))</f>
        <v/>
      </c>
      <c r="F849" s="16"/>
    </row>
    <row r="850" ht="15.0" customHeight="1">
      <c r="A850" s="12"/>
      <c r="B850" s="13"/>
      <c r="C850" s="8"/>
      <c r="D850" s="8"/>
      <c r="E850" s="13" t="str">
        <f>IF(ISBLANK(D850), "", VLOOKUP(D850, Config!$F$6:$G$30, 2, FALSE()))</f>
        <v/>
      </c>
      <c r="F850" s="16"/>
    </row>
    <row r="851" ht="15.0" customHeight="1">
      <c r="A851" s="12"/>
      <c r="B851" s="13"/>
      <c r="C851" s="8"/>
      <c r="D851" s="8"/>
      <c r="E851" s="13" t="str">
        <f>IF(ISBLANK(D851), "", VLOOKUP(D851, Config!$F$6:$G$30, 2, FALSE()))</f>
        <v/>
      </c>
      <c r="F851" s="16"/>
    </row>
    <row r="852" ht="15.0" customHeight="1">
      <c r="A852" s="12"/>
      <c r="B852" s="13"/>
      <c r="C852" s="8"/>
      <c r="D852" s="8"/>
      <c r="E852" s="13" t="str">
        <f>IF(ISBLANK(D852), "", VLOOKUP(D852, Config!$F$6:$G$30, 2, FALSE()))</f>
        <v/>
      </c>
      <c r="F852" s="16"/>
    </row>
    <row r="853" ht="15.0" customHeight="1">
      <c r="A853" s="12"/>
      <c r="B853" s="13"/>
      <c r="C853" s="8"/>
      <c r="D853" s="8"/>
      <c r="E853" s="13" t="str">
        <f>IF(ISBLANK(D853), "", VLOOKUP(D853, Config!$F$6:$G$30, 2, FALSE()))</f>
        <v/>
      </c>
      <c r="F853" s="16"/>
    </row>
    <row r="854" ht="15.0" customHeight="1">
      <c r="A854" s="12"/>
      <c r="B854" s="13"/>
      <c r="C854" s="8"/>
      <c r="D854" s="8"/>
      <c r="E854" s="13" t="str">
        <f>IF(ISBLANK(D854), "", VLOOKUP(D854, Config!$F$6:$G$30, 2, FALSE()))</f>
        <v/>
      </c>
      <c r="F854" s="16"/>
    </row>
    <row r="855" ht="15.0" customHeight="1">
      <c r="A855" s="12"/>
      <c r="B855" s="13"/>
      <c r="C855" s="8"/>
      <c r="D855" s="8"/>
      <c r="E855" s="13" t="str">
        <f>IF(ISBLANK(D855), "", VLOOKUP(D855, Config!$F$6:$G$30, 2, FALSE()))</f>
        <v/>
      </c>
      <c r="F855" s="16"/>
    </row>
    <row r="856" ht="15.0" customHeight="1">
      <c r="A856" s="12"/>
      <c r="B856" s="13"/>
      <c r="C856" s="8"/>
      <c r="D856" s="8"/>
      <c r="E856" s="13" t="str">
        <f>IF(ISBLANK(D856), "", VLOOKUP(D856, Config!$F$6:$G$30, 2, FALSE()))</f>
        <v/>
      </c>
      <c r="F856" s="16"/>
    </row>
    <row r="857" ht="15.0" customHeight="1">
      <c r="A857" s="12"/>
      <c r="B857" s="13"/>
      <c r="C857" s="8"/>
      <c r="D857" s="8"/>
      <c r="E857" s="13" t="str">
        <f>IF(ISBLANK(D857), "", VLOOKUP(D857, Config!$F$6:$G$30, 2, FALSE()))</f>
        <v/>
      </c>
      <c r="F857" s="16"/>
    </row>
    <row r="858" ht="15.0" customHeight="1">
      <c r="A858" s="12"/>
      <c r="B858" s="13"/>
      <c r="C858" s="8"/>
      <c r="D858" s="8"/>
      <c r="E858" s="13" t="str">
        <f>IF(ISBLANK(D858), "", VLOOKUP(D858, Config!$F$6:$G$30, 2, FALSE()))</f>
        <v/>
      </c>
      <c r="F858" s="16"/>
    </row>
    <row r="859" ht="15.0" customHeight="1">
      <c r="A859" s="12"/>
      <c r="B859" s="13"/>
      <c r="C859" s="8"/>
      <c r="D859" s="8"/>
      <c r="E859" s="13" t="str">
        <f>IF(ISBLANK(D859), "", VLOOKUP(D859, Config!$F$6:$G$30, 2, FALSE()))</f>
        <v/>
      </c>
      <c r="F859" s="16"/>
    </row>
    <row r="860" ht="15.0" customHeight="1">
      <c r="A860" s="12"/>
      <c r="B860" s="13"/>
      <c r="C860" s="8"/>
      <c r="D860" s="8"/>
      <c r="E860" s="13" t="str">
        <f>IF(ISBLANK(D860), "", VLOOKUP(D860, Config!$F$6:$G$30, 2, FALSE()))</f>
        <v/>
      </c>
      <c r="F860" s="16"/>
    </row>
    <row r="861" ht="15.0" customHeight="1">
      <c r="A861" s="12"/>
      <c r="B861" s="13"/>
      <c r="C861" s="8"/>
      <c r="D861" s="8"/>
      <c r="E861" s="13" t="str">
        <f>IF(ISBLANK(D861), "", VLOOKUP(D861, Config!$F$6:$G$30, 2, FALSE()))</f>
        <v/>
      </c>
      <c r="F861" s="16"/>
    </row>
    <row r="862" ht="15.0" customHeight="1">
      <c r="A862" s="12"/>
      <c r="B862" s="13"/>
      <c r="C862" s="8"/>
      <c r="D862" s="8"/>
      <c r="E862" s="13" t="str">
        <f>IF(ISBLANK(D862), "", VLOOKUP(D862, Config!$F$6:$G$30, 2, FALSE()))</f>
        <v/>
      </c>
      <c r="F862" s="16"/>
    </row>
    <row r="863" ht="15.0" customHeight="1">
      <c r="A863" s="12"/>
      <c r="B863" s="13"/>
      <c r="C863" s="8"/>
      <c r="D863" s="8"/>
      <c r="E863" s="13" t="str">
        <f>IF(ISBLANK(D863), "", VLOOKUP(D863, Config!$F$6:$G$30, 2, FALSE()))</f>
        <v/>
      </c>
      <c r="F863" s="16"/>
    </row>
    <row r="864" ht="15.0" customHeight="1">
      <c r="A864" s="12"/>
      <c r="B864" s="13"/>
      <c r="C864" s="8"/>
      <c r="D864" s="8"/>
      <c r="E864" s="13" t="str">
        <f>IF(ISBLANK(D864), "", VLOOKUP(D864, Config!$F$6:$G$30, 2, FALSE()))</f>
        <v/>
      </c>
      <c r="F864" s="16"/>
    </row>
    <row r="865" ht="15.0" customHeight="1">
      <c r="A865" s="12"/>
      <c r="B865" s="13"/>
      <c r="C865" s="8"/>
      <c r="D865" s="8"/>
      <c r="E865" s="13" t="str">
        <f>IF(ISBLANK(D865), "", VLOOKUP(D865, Config!$F$6:$G$30, 2, FALSE()))</f>
        <v/>
      </c>
      <c r="F865" s="16"/>
    </row>
    <row r="866" ht="15.0" customHeight="1">
      <c r="A866" s="12"/>
      <c r="B866" s="13"/>
      <c r="C866" s="8"/>
      <c r="D866" s="8"/>
      <c r="E866" s="13" t="str">
        <f>IF(ISBLANK(D866), "", VLOOKUP(D866, Config!$F$6:$G$30, 2, FALSE()))</f>
        <v/>
      </c>
      <c r="F866" s="16"/>
    </row>
    <row r="867" ht="15.0" customHeight="1">
      <c r="A867" s="12"/>
      <c r="B867" s="13"/>
      <c r="C867" s="8"/>
      <c r="D867" s="8"/>
      <c r="E867" s="13" t="str">
        <f>IF(ISBLANK(D867), "", VLOOKUP(D867, Config!$F$6:$G$30, 2, FALSE()))</f>
        <v/>
      </c>
      <c r="F867" s="16"/>
    </row>
    <row r="868" ht="15.0" customHeight="1">
      <c r="A868" s="12"/>
      <c r="B868" s="13"/>
      <c r="C868" s="8"/>
      <c r="D868" s="8"/>
      <c r="E868" s="13" t="str">
        <f>IF(ISBLANK(D868), "", VLOOKUP(D868, Config!$F$6:$G$30, 2, FALSE()))</f>
        <v/>
      </c>
      <c r="F868" s="16"/>
    </row>
    <row r="869" ht="15.0" customHeight="1">
      <c r="A869" s="12"/>
      <c r="B869" s="13"/>
      <c r="C869" s="8"/>
      <c r="D869" s="8"/>
      <c r="E869" s="13" t="str">
        <f>IF(ISBLANK(D869), "", VLOOKUP(D869, Config!$F$6:$G$30, 2, FALSE()))</f>
        <v/>
      </c>
      <c r="F869" s="16"/>
    </row>
    <row r="870" ht="15.0" customHeight="1">
      <c r="A870" s="12"/>
      <c r="B870" s="13"/>
      <c r="C870" s="8"/>
      <c r="D870" s="8"/>
      <c r="E870" s="13" t="str">
        <f>IF(ISBLANK(D870), "", VLOOKUP(D870, Config!$F$6:$G$30, 2, FALSE()))</f>
        <v/>
      </c>
      <c r="F870" s="16"/>
    </row>
    <row r="871" ht="15.0" customHeight="1">
      <c r="A871" s="12"/>
      <c r="B871" s="13"/>
      <c r="C871" s="8"/>
      <c r="D871" s="8"/>
      <c r="E871" s="13" t="str">
        <f>IF(ISBLANK(D871), "", VLOOKUP(D871, Config!$F$6:$G$30, 2, FALSE()))</f>
        <v/>
      </c>
      <c r="F871" s="16"/>
    </row>
    <row r="872" ht="15.0" customHeight="1">
      <c r="A872" s="12"/>
      <c r="B872" s="13"/>
      <c r="C872" s="8"/>
      <c r="D872" s="8"/>
      <c r="E872" s="13" t="str">
        <f>IF(ISBLANK(D872), "", VLOOKUP(D872, Config!$F$6:$G$30, 2, FALSE()))</f>
        <v/>
      </c>
      <c r="F872" s="16"/>
    </row>
    <row r="873" ht="15.0" customHeight="1">
      <c r="A873" s="12"/>
      <c r="B873" s="13"/>
      <c r="C873" s="8"/>
      <c r="D873" s="8"/>
      <c r="E873" s="13" t="str">
        <f>IF(ISBLANK(D873), "", VLOOKUP(D873, Config!$F$6:$G$30, 2, FALSE()))</f>
        <v/>
      </c>
      <c r="F873" s="16"/>
    </row>
    <row r="874" ht="15.0" customHeight="1">
      <c r="A874" s="12"/>
      <c r="B874" s="13"/>
      <c r="C874" s="8"/>
      <c r="D874" s="8"/>
      <c r="E874" s="13" t="str">
        <f>IF(ISBLANK(D874), "", VLOOKUP(D874, Config!$F$6:$G$30, 2, FALSE()))</f>
        <v/>
      </c>
      <c r="F874" s="16"/>
    </row>
    <row r="875" ht="15.0" customHeight="1">
      <c r="A875" s="12"/>
      <c r="B875" s="13"/>
      <c r="C875" s="8"/>
      <c r="D875" s="8"/>
      <c r="E875" s="13" t="str">
        <f>IF(ISBLANK(D875), "", VLOOKUP(D875, Config!$F$6:$G$30, 2, FALSE()))</f>
        <v/>
      </c>
      <c r="F875" s="16"/>
    </row>
    <row r="876" ht="15.0" customHeight="1">
      <c r="A876" s="12"/>
      <c r="B876" s="13"/>
      <c r="C876" s="8"/>
      <c r="D876" s="8"/>
      <c r="E876" s="13" t="str">
        <f>IF(ISBLANK(D876), "", VLOOKUP(D876, Config!$F$6:$G$30, 2, FALSE()))</f>
        <v/>
      </c>
      <c r="F876" s="16"/>
    </row>
    <row r="877" ht="15.0" customHeight="1">
      <c r="A877" s="12"/>
      <c r="B877" s="13"/>
      <c r="C877" s="8"/>
      <c r="D877" s="8"/>
      <c r="E877" s="13" t="str">
        <f>IF(ISBLANK(D877), "", VLOOKUP(D877, Config!$F$6:$G$30, 2, FALSE()))</f>
        <v/>
      </c>
      <c r="F877" s="16"/>
    </row>
    <row r="878" ht="15.0" customHeight="1">
      <c r="A878" s="12"/>
      <c r="B878" s="13"/>
      <c r="C878" s="8"/>
      <c r="D878" s="8"/>
      <c r="E878" s="13" t="str">
        <f>IF(ISBLANK(D878), "", VLOOKUP(D878, Config!$F$6:$G$30, 2, FALSE()))</f>
        <v/>
      </c>
      <c r="F878" s="16"/>
    </row>
    <row r="879" ht="15.0" customHeight="1">
      <c r="A879" s="12"/>
      <c r="B879" s="13"/>
      <c r="C879" s="8"/>
      <c r="D879" s="8"/>
      <c r="E879" s="13" t="str">
        <f>IF(ISBLANK(D879), "", VLOOKUP(D879, Config!$F$6:$G$30, 2, FALSE()))</f>
        <v/>
      </c>
      <c r="F879" s="16"/>
    </row>
    <row r="880" ht="15.0" customHeight="1">
      <c r="A880" s="12"/>
      <c r="B880" s="13"/>
      <c r="C880" s="8"/>
      <c r="D880" s="8"/>
      <c r="E880" s="13" t="str">
        <f>IF(ISBLANK(D880), "", VLOOKUP(D880, Config!$F$6:$G$30, 2, FALSE()))</f>
        <v/>
      </c>
      <c r="F880" s="16"/>
    </row>
    <row r="881" ht="15.0" customHeight="1">
      <c r="A881" s="12"/>
      <c r="B881" s="13"/>
      <c r="C881" s="8"/>
      <c r="D881" s="8"/>
      <c r="E881" s="13" t="str">
        <f>IF(ISBLANK(D881), "", VLOOKUP(D881, Config!$F$6:$G$30, 2, FALSE()))</f>
        <v/>
      </c>
      <c r="F881" s="16"/>
    </row>
    <row r="882" ht="15.0" customHeight="1">
      <c r="A882" s="12"/>
      <c r="B882" s="13"/>
      <c r="C882" s="8"/>
      <c r="D882" s="8"/>
      <c r="E882" s="13" t="str">
        <f>IF(ISBLANK(D882), "", VLOOKUP(D882, Config!$F$6:$G$30, 2, FALSE()))</f>
        <v/>
      </c>
      <c r="F882" s="16"/>
    </row>
    <row r="883" ht="15.0" customHeight="1">
      <c r="A883" s="12"/>
      <c r="B883" s="13"/>
      <c r="C883" s="8"/>
      <c r="D883" s="8"/>
      <c r="E883" s="13" t="str">
        <f>IF(ISBLANK(D883), "", VLOOKUP(D883, Config!$F$6:$G$30, 2, FALSE()))</f>
        <v/>
      </c>
      <c r="F883" s="16"/>
    </row>
    <row r="884" ht="15.0" customHeight="1">
      <c r="A884" s="12"/>
      <c r="B884" s="13"/>
      <c r="C884" s="8"/>
      <c r="D884" s="8"/>
      <c r="E884" s="13" t="str">
        <f>IF(ISBLANK(D884), "", VLOOKUP(D884, Config!$F$6:$G$30, 2, FALSE()))</f>
        <v/>
      </c>
      <c r="F884" s="16"/>
    </row>
    <row r="885" ht="15.0" customHeight="1">
      <c r="A885" s="12"/>
      <c r="B885" s="13"/>
      <c r="C885" s="8"/>
      <c r="D885" s="8"/>
      <c r="E885" s="13" t="str">
        <f>IF(ISBLANK(D885), "", VLOOKUP(D885, Config!$F$6:$G$30, 2, FALSE()))</f>
        <v/>
      </c>
      <c r="F885" s="16"/>
    </row>
    <row r="886" ht="15.0" customHeight="1">
      <c r="A886" s="12"/>
      <c r="B886" s="13"/>
      <c r="C886" s="8"/>
      <c r="D886" s="8"/>
      <c r="E886" s="13" t="str">
        <f>IF(ISBLANK(D886), "", VLOOKUP(D886, Config!$F$6:$G$30, 2, FALSE()))</f>
        <v/>
      </c>
      <c r="F886" s="16"/>
    </row>
    <row r="887" ht="15.0" customHeight="1">
      <c r="A887" s="12"/>
      <c r="B887" s="13"/>
      <c r="C887" s="8"/>
      <c r="D887" s="8"/>
      <c r="E887" s="13" t="str">
        <f>IF(ISBLANK(D887), "", VLOOKUP(D887, Config!$F$6:$G$30, 2, FALSE()))</f>
        <v/>
      </c>
      <c r="F887" s="16"/>
    </row>
    <row r="888" ht="15.0" customHeight="1">
      <c r="A888" s="12"/>
      <c r="B888" s="13"/>
      <c r="C888" s="8"/>
      <c r="D888" s="8"/>
      <c r="E888" s="13" t="str">
        <f>IF(ISBLANK(D888), "", VLOOKUP(D888, Config!$F$6:$G$30, 2, FALSE()))</f>
        <v/>
      </c>
      <c r="F888" s="16"/>
    </row>
    <row r="889" ht="15.0" customHeight="1">
      <c r="A889" s="12"/>
      <c r="B889" s="13"/>
      <c r="C889" s="8"/>
      <c r="D889" s="8"/>
      <c r="E889" s="13" t="str">
        <f>IF(ISBLANK(D889), "", VLOOKUP(D889, Config!$F$6:$G$30, 2, FALSE()))</f>
        <v/>
      </c>
      <c r="F889" s="16"/>
    </row>
    <row r="890" ht="15.0" customHeight="1">
      <c r="A890" s="12"/>
      <c r="B890" s="13"/>
      <c r="C890" s="8"/>
      <c r="D890" s="8"/>
      <c r="E890" s="13" t="str">
        <f>IF(ISBLANK(D890), "", VLOOKUP(D890, Config!$F$6:$G$30, 2, FALSE()))</f>
        <v/>
      </c>
      <c r="F890" s="16"/>
    </row>
    <row r="891" ht="15.0" customHeight="1">
      <c r="A891" s="12"/>
      <c r="B891" s="13"/>
      <c r="C891" s="8"/>
      <c r="D891" s="8"/>
      <c r="E891" s="13" t="str">
        <f>IF(ISBLANK(D891), "", VLOOKUP(D891, Config!$F$6:$G$30, 2, FALSE()))</f>
        <v/>
      </c>
      <c r="F891" s="16"/>
    </row>
    <row r="892" ht="15.0" customHeight="1">
      <c r="A892" s="12"/>
      <c r="B892" s="13"/>
      <c r="C892" s="8"/>
      <c r="D892" s="8"/>
      <c r="E892" s="13" t="str">
        <f>IF(ISBLANK(D892), "", VLOOKUP(D892, Config!$F$6:$G$30, 2, FALSE()))</f>
        <v/>
      </c>
      <c r="F892" s="16"/>
    </row>
    <row r="893" ht="15.0" customHeight="1">
      <c r="A893" s="12"/>
      <c r="B893" s="13"/>
      <c r="C893" s="8"/>
      <c r="D893" s="8"/>
      <c r="E893" s="13" t="str">
        <f>IF(ISBLANK(D893), "", VLOOKUP(D893, Config!$F$6:$G$30, 2, FALSE()))</f>
        <v/>
      </c>
      <c r="F893" s="16"/>
    </row>
    <row r="894" ht="15.0" customHeight="1">
      <c r="A894" s="12"/>
      <c r="B894" s="13"/>
      <c r="C894" s="8"/>
      <c r="D894" s="8"/>
      <c r="E894" s="13" t="str">
        <f>IF(ISBLANK(D894), "", VLOOKUP(D894, Config!$F$6:$G$30, 2, FALSE()))</f>
        <v/>
      </c>
      <c r="F894" s="16"/>
    </row>
    <row r="895" ht="15.0" customHeight="1">
      <c r="A895" s="12"/>
      <c r="B895" s="13"/>
      <c r="C895" s="8"/>
      <c r="D895" s="8"/>
      <c r="E895" s="13" t="str">
        <f>IF(ISBLANK(D895), "", VLOOKUP(D895, Config!$F$6:$G$30, 2, FALSE()))</f>
        <v/>
      </c>
      <c r="F895" s="16"/>
    </row>
    <row r="896" ht="15.0" customHeight="1">
      <c r="A896" s="12"/>
      <c r="B896" s="13"/>
      <c r="C896" s="8"/>
      <c r="D896" s="8"/>
      <c r="E896" s="13" t="str">
        <f>IF(ISBLANK(D896), "", VLOOKUP(D896, Config!$F$6:$G$30, 2, FALSE()))</f>
        <v/>
      </c>
      <c r="F896" s="16"/>
    </row>
    <row r="897" ht="15.0" customHeight="1">
      <c r="A897" s="12"/>
      <c r="B897" s="13"/>
      <c r="C897" s="8"/>
      <c r="D897" s="8"/>
      <c r="E897" s="13" t="str">
        <f>IF(ISBLANK(D897), "", VLOOKUP(D897, Config!$F$6:$G$30, 2, FALSE()))</f>
        <v/>
      </c>
      <c r="F897" s="16"/>
    </row>
    <row r="898" ht="15.0" customHeight="1">
      <c r="A898" s="12"/>
      <c r="B898" s="13"/>
      <c r="C898" s="8"/>
      <c r="D898" s="8"/>
      <c r="E898" s="13" t="str">
        <f>IF(ISBLANK(D898), "", VLOOKUP(D898, Config!$F$6:$G$30, 2, FALSE()))</f>
        <v/>
      </c>
      <c r="F898" s="16"/>
    </row>
    <row r="899" ht="15.0" customHeight="1">
      <c r="A899" s="12"/>
      <c r="B899" s="13"/>
      <c r="C899" s="8"/>
      <c r="D899" s="8"/>
      <c r="E899" s="13" t="str">
        <f>IF(ISBLANK(D899), "", VLOOKUP(D899, Config!$F$6:$G$30, 2, FALSE()))</f>
        <v/>
      </c>
      <c r="F899" s="16"/>
    </row>
    <row r="900" ht="15.0" customHeight="1">
      <c r="A900" s="12"/>
      <c r="B900" s="13"/>
      <c r="C900" s="8"/>
      <c r="D900" s="8"/>
      <c r="E900" s="13" t="str">
        <f>IF(ISBLANK(D900), "", VLOOKUP(D900, Config!$F$6:$G$30, 2, FALSE()))</f>
        <v/>
      </c>
      <c r="F900" s="16"/>
    </row>
    <row r="901" ht="15.0" customHeight="1">
      <c r="A901" s="12"/>
      <c r="B901" s="13"/>
      <c r="C901" s="8"/>
      <c r="D901" s="8"/>
      <c r="E901" s="13" t="str">
        <f>IF(ISBLANK(D901), "", VLOOKUP(D901, Config!$F$6:$G$30, 2, FALSE()))</f>
        <v/>
      </c>
      <c r="F901" s="16"/>
    </row>
    <row r="902" ht="15.0" customHeight="1">
      <c r="A902" s="12"/>
      <c r="B902" s="13"/>
      <c r="C902" s="8"/>
      <c r="D902" s="8"/>
      <c r="E902" s="13" t="str">
        <f>IF(ISBLANK(D902), "", VLOOKUP(D902, Config!$F$6:$G$30, 2, FALSE()))</f>
        <v/>
      </c>
      <c r="F902" s="16"/>
    </row>
    <row r="903" ht="15.0" customHeight="1">
      <c r="A903" s="12"/>
      <c r="B903" s="13"/>
      <c r="C903" s="8"/>
      <c r="D903" s="8"/>
      <c r="E903" s="13" t="str">
        <f>IF(ISBLANK(D903), "", VLOOKUP(D903, Config!$F$6:$G$30, 2, FALSE()))</f>
        <v/>
      </c>
      <c r="F903" s="16"/>
    </row>
    <row r="904" ht="15.0" customHeight="1">
      <c r="A904" s="12"/>
      <c r="B904" s="13"/>
      <c r="C904" s="8"/>
      <c r="D904" s="8"/>
      <c r="E904" s="13" t="str">
        <f>IF(ISBLANK(D904), "", VLOOKUP(D904, Config!$F$6:$G$30, 2, FALSE()))</f>
        <v/>
      </c>
      <c r="F904" s="16"/>
    </row>
    <row r="905" ht="15.0" customHeight="1">
      <c r="A905" s="12"/>
      <c r="B905" s="13"/>
      <c r="C905" s="8"/>
      <c r="D905" s="8"/>
      <c r="E905" s="13" t="str">
        <f>IF(ISBLANK(D905), "", VLOOKUP(D905, Config!$F$6:$G$30, 2, FALSE()))</f>
        <v/>
      </c>
      <c r="F905" s="16"/>
    </row>
    <row r="906" ht="15.0" customHeight="1">
      <c r="A906" s="12"/>
      <c r="B906" s="13"/>
      <c r="C906" s="8"/>
      <c r="D906" s="8"/>
      <c r="E906" s="13" t="str">
        <f>IF(ISBLANK(D906), "", VLOOKUP(D906, Config!$F$6:$G$30, 2, FALSE()))</f>
        <v/>
      </c>
      <c r="F906" s="16"/>
    </row>
    <row r="907" ht="15.0" customHeight="1">
      <c r="A907" s="12"/>
      <c r="B907" s="13"/>
      <c r="C907" s="8"/>
      <c r="D907" s="8"/>
      <c r="E907" s="13" t="str">
        <f>IF(ISBLANK(D907), "", VLOOKUP(D907, Config!$F$6:$G$30, 2, FALSE()))</f>
        <v/>
      </c>
      <c r="F907" s="16"/>
    </row>
    <row r="908" ht="15.0" customHeight="1">
      <c r="A908" s="12"/>
      <c r="B908" s="13"/>
      <c r="C908" s="8"/>
      <c r="D908" s="8"/>
      <c r="E908" s="13" t="str">
        <f>IF(ISBLANK(D908), "", VLOOKUP(D908, Config!$F$6:$G$30, 2, FALSE()))</f>
        <v/>
      </c>
      <c r="F908" s="16"/>
    </row>
    <row r="909" ht="15.0" customHeight="1">
      <c r="A909" s="12"/>
      <c r="B909" s="13"/>
      <c r="C909" s="8"/>
      <c r="D909" s="8"/>
      <c r="E909" s="13" t="str">
        <f>IF(ISBLANK(D909), "", VLOOKUP(D909, Config!$F$6:$G$30, 2, FALSE()))</f>
        <v/>
      </c>
      <c r="F909" s="16"/>
    </row>
    <row r="910" ht="15.0" customHeight="1">
      <c r="A910" s="12"/>
      <c r="B910" s="13"/>
      <c r="C910" s="8"/>
      <c r="D910" s="8"/>
      <c r="E910" s="13" t="str">
        <f>IF(ISBLANK(D910), "", VLOOKUP(D910, Config!$F$6:$G$30, 2, FALSE()))</f>
        <v/>
      </c>
      <c r="F910" s="16"/>
    </row>
    <row r="911" ht="15.0" customHeight="1">
      <c r="A911" s="12"/>
      <c r="B911" s="13"/>
      <c r="C911" s="8"/>
      <c r="D911" s="8"/>
      <c r="E911" s="13" t="str">
        <f>IF(ISBLANK(D911), "", VLOOKUP(D911, Config!$F$6:$G$30, 2, FALSE()))</f>
        <v/>
      </c>
      <c r="F911" s="16"/>
    </row>
    <row r="912" ht="15.0" customHeight="1">
      <c r="A912" s="12"/>
      <c r="B912" s="13"/>
      <c r="C912" s="8"/>
      <c r="D912" s="8"/>
      <c r="E912" s="13" t="str">
        <f>IF(ISBLANK(D912), "", VLOOKUP(D912, Config!$F$6:$G$30, 2, FALSE()))</f>
        <v/>
      </c>
      <c r="F912" s="16"/>
    </row>
    <row r="913" ht="15.0" customHeight="1">
      <c r="A913" s="12"/>
      <c r="B913" s="13"/>
      <c r="C913" s="8"/>
      <c r="D913" s="8"/>
      <c r="E913" s="13" t="str">
        <f>IF(ISBLANK(D913), "", VLOOKUP(D913, Config!$F$6:$G$30, 2, FALSE()))</f>
        <v/>
      </c>
      <c r="F913" s="16"/>
    </row>
    <row r="914" ht="15.0" customHeight="1">
      <c r="A914" s="12"/>
      <c r="B914" s="13"/>
      <c r="C914" s="8"/>
      <c r="D914" s="8"/>
      <c r="E914" s="13" t="str">
        <f>IF(ISBLANK(D914), "", VLOOKUP(D914, Config!$F$6:$G$30, 2, FALSE()))</f>
        <v/>
      </c>
      <c r="F914" s="16"/>
    </row>
    <row r="915" ht="15.0" customHeight="1">
      <c r="A915" s="12"/>
      <c r="B915" s="13"/>
      <c r="C915" s="8"/>
      <c r="D915" s="8"/>
      <c r="E915" s="13" t="str">
        <f>IF(ISBLANK(D915), "", VLOOKUP(D915, Config!$F$6:$G$30, 2, FALSE()))</f>
        <v/>
      </c>
      <c r="F915" s="16"/>
    </row>
    <row r="916" ht="15.0" customHeight="1">
      <c r="A916" s="12"/>
      <c r="B916" s="13"/>
      <c r="C916" s="8"/>
      <c r="D916" s="8"/>
      <c r="E916" s="13" t="str">
        <f>IF(ISBLANK(D916), "", VLOOKUP(D916, Config!$F$6:$G$30, 2, FALSE()))</f>
        <v/>
      </c>
      <c r="F916" s="16"/>
    </row>
    <row r="917" ht="15.0" customHeight="1">
      <c r="A917" s="12"/>
      <c r="B917" s="13"/>
      <c r="C917" s="8"/>
      <c r="D917" s="8"/>
      <c r="E917" s="13" t="str">
        <f>IF(ISBLANK(D917), "", VLOOKUP(D917, Config!$F$6:$G$30, 2, FALSE()))</f>
        <v/>
      </c>
      <c r="F917" s="16"/>
    </row>
    <row r="918" ht="15.0" customHeight="1">
      <c r="A918" s="12"/>
      <c r="B918" s="13"/>
      <c r="C918" s="8"/>
      <c r="D918" s="8"/>
      <c r="E918" s="13" t="str">
        <f>IF(ISBLANK(D918), "", VLOOKUP(D918, Config!$F$6:$G$30, 2, FALSE()))</f>
        <v/>
      </c>
      <c r="F918" s="16"/>
    </row>
    <row r="919" ht="15.0" customHeight="1">
      <c r="A919" s="12"/>
      <c r="B919" s="13"/>
      <c r="C919" s="8"/>
      <c r="D919" s="8"/>
      <c r="E919" s="13" t="str">
        <f>IF(ISBLANK(D919), "", VLOOKUP(D919, Config!$F$6:$G$30, 2, FALSE()))</f>
        <v/>
      </c>
      <c r="F919" s="16"/>
    </row>
    <row r="920" ht="15.0" customHeight="1">
      <c r="A920" s="12"/>
      <c r="B920" s="13"/>
      <c r="C920" s="8"/>
      <c r="D920" s="8"/>
      <c r="E920" s="13" t="str">
        <f>IF(ISBLANK(D920), "", VLOOKUP(D920, Config!$F$6:$G$30, 2, FALSE()))</f>
        <v/>
      </c>
      <c r="F920" s="16"/>
    </row>
    <row r="921" ht="15.0" customHeight="1">
      <c r="A921" s="12"/>
      <c r="B921" s="13"/>
      <c r="C921" s="8"/>
      <c r="D921" s="8"/>
      <c r="E921" s="13" t="str">
        <f>IF(ISBLANK(D921), "", VLOOKUP(D921, Config!$F$6:$G$30, 2, FALSE()))</f>
        <v/>
      </c>
      <c r="F921" s="16"/>
    </row>
    <row r="922" ht="15.0" customHeight="1">
      <c r="A922" s="12"/>
      <c r="B922" s="13"/>
      <c r="C922" s="8"/>
      <c r="D922" s="8"/>
      <c r="E922" s="13" t="str">
        <f>IF(ISBLANK(D922), "", VLOOKUP(D922, Config!$F$6:$G$30, 2, FALSE()))</f>
        <v/>
      </c>
      <c r="F922" s="16"/>
    </row>
    <row r="923" ht="15.0" customHeight="1">
      <c r="A923" s="12"/>
      <c r="B923" s="13"/>
      <c r="C923" s="8"/>
      <c r="D923" s="8"/>
      <c r="E923" s="13" t="str">
        <f>IF(ISBLANK(D923), "", VLOOKUP(D923, Config!$F$6:$G$30, 2, FALSE()))</f>
        <v/>
      </c>
      <c r="F923" s="16"/>
    </row>
    <row r="924" ht="15.0" customHeight="1">
      <c r="A924" s="12"/>
      <c r="B924" s="13"/>
      <c r="C924" s="8"/>
      <c r="D924" s="8"/>
      <c r="E924" s="13" t="str">
        <f>IF(ISBLANK(D924), "", VLOOKUP(D924, Config!$F$6:$G$30, 2, FALSE()))</f>
        <v/>
      </c>
      <c r="F924" s="16"/>
    </row>
    <row r="925" ht="15.0" customHeight="1">
      <c r="A925" s="12"/>
      <c r="B925" s="13"/>
      <c r="C925" s="8"/>
      <c r="D925" s="8"/>
      <c r="E925" s="13" t="str">
        <f>IF(ISBLANK(D925), "", VLOOKUP(D925, Config!$F$6:$G$30, 2, FALSE()))</f>
        <v/>
      </c>
      <c r="F925" s="16"/>
    </row>
    <row r="926" ht="15.0" customHeight="1">
      <c r="A926" s="12"/>
      <c r="B926" s="13"/>
      <c r="C926" s="8"/>
      <c r="D926" s="8"/>
      <c r="E926" s="13" t="str">
        <f>IF(ISBLANK(D926), "", VLOOKUP(D926, Config!$F$6:$G$30, 2, FALSE()))</f>
        <v/>
      </c>
      <c r="F926" s="16"/>
    </row>
    <row r="927" ht="15.0" customHeight="1">
      <c r="A927" s="12"/>
      <c r="B927" s="13"/>
      <c r="C927" s="8"/>
      <c r="D927" s="8"/>
      <c r="E927" s="13" t="str">
        <f>IF(ISBLANK(D927), "", VLOOKUP(D927, Config!$F$6:$G$30, 2, FALSE()))</f>
        <v/>
      </c>
      <c r="F927" s="16"/>
    </row>
    <row r="928" ht="15.0" customHeight="1">
      <c r="A928" s="12"/>
      <c r="B928" s="13"/>
      <c r="C928" s="8"/>
      <c r="D928" s="8"/>
      <c r="E928" s="13" t="str">
        <f>IF(ISBLANK(D928), "", VLOOKUP(D928, Config!$F$6:$G$30, 2, FALSE()))</f>
        <v/>
      </c>
      <c r="F928" s="16"/>
    </row>
    <row r="929" ht="15.0" customHeight="1">
      <c r="A929" s="12"/>
      <c r="B929" s="13"/>
      <c r="C929" s="8"/>
      <c r="D929" s="8"/>
      <c r="E929" s="13" t="str">
        <f>IF(ISBLANK(D929), "", VLOOKUP(D929, Config!$F$6:$G$30, 2, FALSE()))</f>
        <v/>
      </c>
      <c r="F929" s="16"/>
    </row>
    <row r="930" ht="15.0" customHeight="1">
      <c r="A930" s="12"/>
      <c r="B930" s="13"/>
      <c r="C930" s="8"/>
      <c r="D930" s="8"/>
      <c r="E930" s="13" t="str">
        <f>IF(ISBLANK(D930), "", VLOOKUP(D930, Config!$F$6:$G$30, 2, FALSE()))</f>
        <v/>
      </c>
      <c r="F930" s="16"/>
    </row>
    <row r="931" ht="15.0" customHeight="1">
      <c r="A931" s="12"/>
      <c r="B931" s="13"/>
      <c r="C931" s="8"/>
      <c r="D931" s="8"/>
      <c r="E931" s="13" t="str">
        <f>IF(ISBLANK(D931), "", VLOOKUP(D931, Config!$F$6:$G$30, 2, FALSE()))</f>
        <v/>
      </c>
      <c r="F931" s="16"/>
    </row>
    <row r="932" ht="15.0" customHeight="1">
      <c r="A932" s="12"/>
      <c r="B932" s="13"/>
      <c r="C932" s="8"/>
      <c r="D932" s="8"/>
      <c r="E932" s="13" t="str">
        <f>IF(ISBLANK(D932), "", VLOOKUP(D932, Config!$F$6:$G$30, 2, FALSE()))</f>
        <v/>
      </c>
      <c r="F932" s="16"/>
    </row>
    <row r="933" ht="15.0" customHeight="1">
      <c r="A933" s="12"/>
      <c r="B933" s="13"/>
      <c r="C933" s="8"/>
      <c r="D933" s="8"/>
      <c r="E933" s="13" t="str">
        <f>IF(ISBLANK(D933), "", VLOOKUP(D933, Config!$F$6:$G$30, 2, FALSE()))</f>
        <v/>
      </c>
      <c r="F933" s="16"/>
    </row>
    <row r="934" ht="15.0" customHeight="1">
      <c r="A934" s="12"/>
      <c r="B934" s="13"/>
      <c r="C934" s="8"/>
      <c r="D934" s="8"/>
      <c r="E934" s="13" t="str">
        <f>IF(ISBLANK(D934), "", VLOOKUP(D934, Config!$F$6:$G$30, 2, FALSE()))</f>
        <v/>
      </c>
      <c r="F934" s="16"/>
    </row>
    <row r="935" ht="15.0" customHeight="1">
      <c r="A935" s="12"/>
      <c r="B935" s="13"/>
      <c r="C935" s="8"/>
      <c r="D935" s="8"/>
      <c r="E935" s="13" t="str">
        <f>IF(ISBLANK(D935), "", VLOOKUP(D935, Config!$F$6:$G$30, 2, FALSE()))</f>
        <v/>
      </c>
      <c r="F935" s="16"/>
    </row>
    <row r="936" ht="15.0" customHeight="1">
      <c r="A936" s="12"/>
      <c r="B936" s="13"/>
      <c r="C936" s="8"/>
      <c r="D936" s="8"/>
      <c r="E936" s="13" t="str">
        <f>IF(ISBLANK(D936), "", VLOOKUP(D936, Config!$F$6:$G$30, 2, FALSE()))</f>
        <v/>
      </c>
      <c r="F936" s="16"/>
    </row>
    <row r="937" ht="15.0" customHeight="1">
      <c r="A937" s="12"/>
      <c r="B937" s="13"/>
      <c r="C937" s="8"/>
      <c r="D937" s="8"/>
      <c r="E937" s="13" t="str">
        <f>IF(ISBLANK(D937), "", VLOOKUP(D937, Config!$F$6:$G$30, 2, FALSE()))</f>
        <v/>
      </c>
      <c r="F937" s="16"/>
    </row>
    <row r="938" ht="15.0" customHeight="1">
      <c r="A938" s="12"/>
      <c r="B938" s="13"/>
      <c r="C938" s="8"/>
      <c r="D938" s="8"/>
      <c r="E938" s="13" t="str">
        <f>IF(ISBLANK(D938), "", VLOOKUP(D938, Config!$F$6:$G$30, 2, FALSE()))</f>
        <v/>
      </c>
      <c r="F938" s="16"/>
    </row>
    <row r="939" ht="15.0" customHeight="1">
      <c r="A939" s="12"/>
      <c r="B939" s="13"/>
      <c r="C939" s="8"/>
      <c r="D939" s="8"/>
      <c r="E939" s="13" t="str">
        <f>IF(ISBLANK(D939), "", VLOOKUP(D939, Config!$F$6:$G$30, 2, FALSE()))</f>
        <v/>
      </c>
      <c r="F939" s="16"/>
    </row>
    <row r="940" ht="15.0" customHeight="1">
      <c r="A940" s="12"/>
      <c r="B940" s="13"/>
      <c r="C940" s="8"/>
      <c r="D940" s="8"/>
      <c r="E940" s="13" t="str">
        <f>IF(ISBLANK(D940), "", VLOOKUP(D940, Config!$F$6:$G$30, 2, FALSE()))</f>
        <v/>
      </c>
      <c r="F940" s="16"/>
    </row>
    <row r="941" ht="15.0" customHeight="1">
      <c r="A941" s="12"/>
      <c r="B941" s="13"/>
      <c r="C941" s="8"/>
      <c r="D941" s="8"/>
      <c r="E941" s="13" t="str">
        <f>IF(ISBLANK(D941), "", VLOOKUP(D941, Config!$F$6:$G$30, 2, FALSE()))</f>
        <v/>
      </c>
      <c r="F941" s="16"/>
    </row>
    <row r="942" ht="15.0" customHeight="1">
      <c r="A942" s="12"/>
      <c r="B942" s="13"/>
      <c r="C942" s="8"/>
      <c r="D942" s="8"/>
      <c r="E942" s="13" t="str">
        <f>IF(ISBLANK(D942), "", VLOOKUP(D942, Config!$F$6:$G$30, 2, FALSE()))</f>
        <v/>
      </c>
      <c r="F942" s="16"/>
    </row>
    <row r="943" ht="15.0" customHeight="1">
      <c r="A943" s="12"/>
      <c r="B943" s="13"/>
      <c r="C943" s="8"/>
      <c r="D943" s="8"/>
      <c r="E943" s="13" t="str">
        <f>IF(ISBLANK(D943), "", VLOOKUP(D943, Config!$F$6:$G$30, 2, FALSE()))</f>
        <v/>
      </c>
      <c r="F943" s="16"/>
    </row>
    <row r="944" ht="15.0" customHeight="1">
      <c r="A944" s="12"/>
      <c r="B944" s="13"/>
      <c r="C944" s="8"/>
      <c r="D944" s="8"/>
      <c r="E944" s="13" t="str">
        <f>IF(ISBLANK(D944), "", VLOOKUP(D944, Config!$F$6:$G$30, 2, FALSE()))</f>
        <v/>
      </c>
      <c r="F944" s="16"/>
    </row>
    <row r="945" ht="15.0" customHeight="1">
      <c r="A945" s="12"/>
      <c r="B945" s="13"/>
      <c r="C945" s="8"/>
      <c r="D945" s="8"/>
      <c r="E945" s="13" t="str">
        <f>IF(ISBLANK(D945), "", VLOOKUP(D945, Config!$F$6:$G$30, 2, FALSE()))</f>
        <v/>
      </c>
      <c r="F945" s="16"/>
    </row>
    <row r="946" ht="15.0" customHeight="1">
      <c r="A946" s="12"/>
      <c r="B946" s="13"/>
      <c r="C946" s="8"/>
      <c r="D946" s="8"/>
      <c r="E946" s="13" t="str">
        <f>IF(ISBLANK(D946), "", VLOOKUP(D946, Config!$F$6:$G$30, 2, FALSE()))</f>
        <v/>
      </c>
      <c r="F946" s="16"/>
    </row>
    <row r="947" ht="15.0" customHeight="1">
      <c r="A947" s="12"/>
      <c r="B947" s="13"/>
      <c r="C947" s="8"/>
      <c r="D947" s="8"/>
      <c r="E947" s="13" t="str">
        <f>IF(ISBLANK(D947), "", VLOOKUP(D947, Config!$F$6:$G$30, 2, FALSE()))</f>
        <v/>
      </c>
      <c r="F947" s="16"/>
    </row>
    <row r="948" ht="15.0" customHeight="1">
      <c r="A948" s="12"/>
      <c r="B948" s="13"/>
      <c r="C948" s="8"/>
      <c r="D948" s="8"/>
      <c r="E948" s="13" t="str">
        <f>IF(ISBLANK(D948), "", VLOOKUP(D948, Config!$F$6:$G$30, 2, FALSE()))</f>
        <v/>
      </c>
      <c r="F948" s="16"/>
    </row>
    <row r="949" ht="15.0" customHeight="1">
      <c r="A949" s="12"/>
      <c r="B949" s="13"/>
      <c r="C949" s="8"/>
      <c r="D949" s="8"/>
      <c r="E949" s="13" t="str">
        <f>IF(ISBLANK(D949), "", VLOOKUP(D949, Config!$F$6:$G$30, 2, FALSE()))</f>
        <v/>
      </c>
      <c r="F949" s="16"/>
    </row>
    <row r="950" ht="15.0" customHeight="1">
      <c r="A950" s="12"/>
      <c r="B950" s="13"/>
      <c r="C950" s="8"/>
      <c r="D950" s="8"/>
      <c r="E950" s="13" t="str">
        <f>IF(ISBLANK(D950), "", VLOOKUP(D950, Config!$F$6:$G$30, 2, FALSE()))</f>
        <v/>
      </c>
      <c r="F950" s="16"/>
    </row>
    <row r="951" ht="15.0" customHeight="1">
      <c r="A951" s="12"/>
      <c r="B951" s="13"/>
      <c r="C951" s="8"/>
      <c r="D951" s="8"/>
      <c r="E951" s="13" t="str">
        <f>IF(ISBLANK(D951), "", VLOOKUP(D951, Config!$F$6:$G$30, 2, FALSE()))</f>
        <v/>
      </c>
      <c r="F951" s="16"/>
    </row>
    <row r="952" ht="15.0" customHeight="1">
      <c r="A952" s="12"/>
      <c r="B952" s="13"/>
      <c r="C952" s="8"/>
      <c r="D952" s="8"/>
      <c r="E952" s="13" t="str">
        <f>IF(ISBLANK(D952), "", VLOOKUP(D952, Config!$F$6:$G$30, 2, FALSE()))</f>
        <v/>
      </c>
      <c r="F952" s="16"/>
    </row>
    <row r="953" ht="15.0" customHeight="1">
      <c r="A953" s="12"/>
      <c r="B953" s="13"/>
      <c r="C953" s="8"/>
      <c r="D953" s="8"/>
      <c r="E953" s="13" t="str">
        <f>IF(ISBLANK(D953), "", VLOOKUP(D953, Config!$F$6:$G$30, 2, FALSE()))</f>
        <v/>
      </c>
      <c r="F953" s="16"/>
    </row>
    <row r="954" ht="15.0" customHeight="1">
      <c r="A954" s="12"/>
      <c r="B954" s="13"/>
      <c r="C954" s="8"/>
      <c r="D954" s="8"/>
      <c r="E954" s="13" t="str">
        <f>IF(ISBLANK(D954), "", VLOOKUP(D954, Config!$F$6:$G$30, 2, FALSE()))</f>
        <v/>
      </c>
      <c r="F954" s="16"/>
    </row>
    <row r="955" ht="15.0" customHeight="1">
      <c r="A955" s="12"/>
      <c r="B955" s="13"/>
      <c r="C955" s="8"/>
      <c r="D955" s="8"/>
      <c r="E955" s="13" t="str">
        <f>IF(ISBLANK(D955), "", VLOOKUP(D955, Config!$F$6:$G$30, 2, FALSE()))</f>
        <v/>
      </c>
      <c r="F955" s="16"/>
    </row>
    <row r="956" ht="15.0" customHeight="1">
      <c r="A956" s="12"/>
      <c r="B956" s="13"/>
      <c r="C956" s="8"/>
      <c r="D956" s="8"/>
      <c r="E956" s="13" t="str">
        <f>IF(ISBLANK(D956), "", VLOOKUP(D956, Config!$F$6:$G$30, 2, FALSE()))</f>
        <v/>
      </c>
      <c r="F956" s="16"/>
    </row>
    <row r="957" ht="15.0" customHeight="1">
      <c r="A957" s="12"/>
      <c r="B957" s="13"/>
      <c r="C957" s="8"/>
      <c r="D957" s="8"/>
      <c r="E957" s="13" t="str">
        <f>IF(ISBLANK(D957), "", VLOOKUP(D957, Config!$F$6:$G$30, 2, FALSE()))</f>
        <v/>
      </c>
      <c r="F957" s="16"/>
    </row>
    <row r="958" ht="15.0" customHeight="1">
      <c r="A958" s="12"/>
      <c r="B958" s="13"/>
      <c r="C958" s="8"/>
      <c r="D958" s="8"/>
      <c r="E958" s="13" t="str">
        <f>IF(ISBLANK(D958), "", VLOOKUP(D958, Config!$F$6:$G$30, 2, FALSE()))</f>
        <v/>
      </c>
      <c r="F958" s="16"/>
    </row>
    <row r="959" ht="15.0" customHeight="1">
      <c r="A959" s="12"/>
      <c r="B959" s="13"/>
      <c r="C959" s="8"/>
      <c r="D959" s="8"/>
      <c r="E959" s="13" t="str">
        <f>IF(ISBLANK(D959), "", VLOOKUP(D959, Config!$F$6:$G$30, 2, FALSE()))</f>
        <v/>
      </c>
      <c r="F959" s="16"/>
    </row>
    <row r="960" ht="15.0" customHeight="1">
      <c r="A960" s="12"/>
      <c r="B960" s="13"/>
      <c r="C960" s="8"/>
      <c r="D960" s="8"/>
      <c r="E960" s="13" t="str">
        <f>IF(ISBLANK(D960), "", VLOOKUP(D960, Config!$F$6:$G$30, 2, FALSE()))</f>
        <v/>
      </c>
      <c r="F960" s="16"/>
    </row>
    <row r="961" ht="15.0" customHeight="1">
      <c r="A961" s="12"/>
      <c r="B961" s="13"/>
      <c r="C961" s="8"/>
      <c r="D961" s="8"/>
      <c r="E961" s="13" t="str">
        <f>IF(ISBLANK(D961), "", VLOOKUP(D961, Config!$F$6:$G$30, 2, FALSE()))</f>
        <v/>
      </c>
      <c r="F961" s="16"/>
    </row>
    <row r="962" ht="15.0" customHeight="1">
      <c r="A962" s="12"/>
      <c r="B962" s="13"/>
      <c r="C962" s="8"/>
      <c r="D962" s="8"/>
      <c r="E962" s="13" t="str">
        <f>IF(ISBLANK(D962), "", VLOOKUP(D962, Config!$F$6:$G$30, 2, FALSE()))</f>
        <v/>
      </c>
      <c r="F962" s="16"/>
    </row>
    <row r="963" ht="15.0" customHeight="1">
      <c r="A963" s="12"/>
      <c r="B963" s="13"/>
      <c r="C963" s="8"/>
      <c r="D963" s="8"/>
      <c r="E963" s="13" t="str">
        <f>IF(ISBLANK(D963), "", VLOOKUP(D963, Config!$F$6:$G$30, 2, FALSE()))</f>
        <v/>
      </c>
      <c r="F963" s="16"/>
    </row>
    <row r="964" ht="15.0" customHeight="1">
      <c r="A964" s="12"/>
      <c r="B964" s="13"/>
      <c r="C964" s="8"/>
      <c r="D964" s="8"/>
      <c r="E964" s="13" t="str">
        <f>IF(ISBLANK(D964), "", VLOOKUP(D964, Config!$F$6:$G$30, 2, FALSE()))</f>
        <v/>
      </c>
      <c r="F964" s="16"/>
    </row>
    <row r="965" ht="15.0" customHeight="1">
      <c r="A965" s="12"/>
      <c r="B965" s="13"/>
      <c r="C965" s="8"/>
      <c r="D965" s="8"/>
      <c r="E965" s="13" t="str">
        <f>IF(ISBLANK(D965), "", VLOOKUP(D965, Config!$F$6:$G$30, 2, FALSE()))</f>
        <v/>
      </c>
      <c r="F965" s="16"/>
    </row>
    <row r="966" ht="15.0" customHeight="1">
      <c r="A966" s="12"/>
      <c r="B966" s="13"/>
      <c r="C966" s="8"/>
      <c r="D966" s="8"/>
      <c r="E966" s="13" t="str">
        <f>IF(ISBLANK(D966), "", VLOOKUP(D966, Config!$F$6:$G$30, 2, FALSE()))</f>
        <v/>
      </c>
      <c r="F966" s="16"/>
    </row>
    <row r="967" ht="15.0" customHeight="1">
      <c r="A967" s="12"/>
      <c r="B967" s="13"/>
      <c r="C967" s="8"/>
      <c r="D967" s="8"/>
      <c r="E967" s="13" t="str">
        <f>IF(ISBLANK(D967), "", VLOOKUP(D967, Config!$F$6:$G$30, 2, FALSE()))</f>
        <v/>
      </c>
      <c r="F967" s="16"/>
    </row>
    <row r="968" ht="15.0" customHeight="1">
      <c r="A968" s="12"/>
      <c r="B968" s="13"/>
      <c r="C968" s="8"/>
      <c r="D968" s="8"/>
      <c r="E968" s="13" t="str">
        <f>IF(ISBLANK(D968), "", VLOOKUP(D968, Config!$F$6:$G$30, 2, FALSE()))</f>
        <v/>
      </c>
      <c r="F968" s="16"/>
    </row>
    <row r="969" ht="15.0" customHeight="1">
      <c r="A969" s="12"/>
      <c r="B969" s="13"/>
      <c r="C969" s="8"/>
      <c r="D969" s="8"/>
      <c r="E969" s="13" t="str">
        <f>IF(ISBLANK(D969), "", VLOOKUP(D969, Config!$F$6:$G$30, 2, FALSE()))</f>
        <v/>
      </c>
      <c r="F969" s="16"/>
    </row>
    <row r="970" ht="15.0" customHeight="1">
      <c r="A970" s="12"/>
      <c r="B970" s="13"/>
      <c r="C970" s="8"/>
      <c r="D970" s="8"/>
      <c r="E970" s="13" t="str">
        <f>IF(ISBLANK(D970), "", VLOOKUP(D970, Config!$F$6:$G$30, 2, FALSE()))</f>
        <v/>
      </c>
      <c r="F970" s="16"/>
    </row>
    <row r="971" ht="15.0" customHeight="1">
      <c r="A971" s="12"/>
      <c r="B971" s="13"/>
      <c r="C971" s="8"/>
      <c r="D971" s="8"/>
      <c r="E971" s="13" t="str">
        <f>IF(ISBLANK(D971), "", VLOOKUP(D971, Config!$F$6:$G$30, 2, FALSE()))</f>
        <v/>
      </c>
      <c r="F971" s="16"/>
    </row>
    <row r="972" ht="15.0" customHeight="1">
      <c r="A972" s="12"/>
      <c r="B972" s="13"/>
      <c r="C972" s="8"/>
      <c r="D972" s="8"/>
      <c r="E972" s="13" t="str">
        <f>IF(ISBLANK(D972), "", VLOOKUP(D972, Config!$F$6:$G$30, 2, FALSE()))</f>
        <v/>
      </c>
      <c r="F972" s="16"/>
    </row>
    <row r="973" ht="15.0" customHeight="1">
      <c r="A973" s="12"/>
      <c r="B973" s="13"/>
      <c r="C973" s="8"/>
      <c r="D973" s="8"/>
      <c r="E973" s="13" t="str">
        <f>IF(ISBLANK(D973), "", VLOOKUP(D973, Config!$F$6:$G$30, 2, FALSE()))</f>
        <v/>
      </c>
      <c r="F973" s="16"/>
    </row>
    <row r="974" ht="15.0" customHeight="1">
      <c r="A974" s="12"/>
      <c r="B974" s="13"/>
      <c r="C974" s="8"/>
      <c r="D974" s="8"/>
      <c r="E974" s="13" t="str">
        <f>IF(ISBLANK(D974), "", VLOOKUP(D974, Config!$F$6:$G$30, 2, FALSE()))</f>
        <v/>
      </c>
      <c r="F974" s="16"/>
    </row>
    <row r="975" ht="15.0" customHeight="1">
      <c r="A975" s="12"/>
      <c r="B975" s="13"/>
      <c r="C975" s="8"/>
      <c r="D975" s="8"/>
      <c r="E975" s="13" t="str">
        <f>IF(ISBLANK(D975), "", VLOOKUP(D975, Config!$F$6:$G$30, 2, FALSE()))</f>
        <v/>
      </c>
      <c r="F975" s="16"/>
    </row>
    <row r="976" ht="15.0" customHeight="1">
      <c r="A976" s="12"/>
      <c r="B976" s="13"/>
      <c r="C976" s="8"/>
      <c r="D976" s="8"/>
      <c r="E976" s="13" t="str">
        <f>IF(ISBLANK(D976), "", VLOOKUP(D976, Config!$F$6:$G$30, 2, FALSE()))</f>
        <v/>
      </c>
      <c r="F976" s="16"/>
    </row>
    <row r="977" ht="15.0" customHeight="1">
      <c r="A977" s="12"/>
      <c r="B977" s="13"/>
      <c r="C977" s="8"/>
      <c r="D977" s="8"/>
      <c r="E977" s="13" t="str">
        <f>IF(ISBLANK(D977), "", VLOOKUP(D977, Config!$F$6:$G$30, 2, FALSE()))</f>
        <v/>
      </c>
      <c r="F977" s="16"/>
    </row>
    <row r="978" ht="15.0" customHeight="1">
      <c r="A978" s="12"/>
      <c r="B978" s="13"/>
      <c r="C978" s="8"/>
      <c r="D978" s="8"/>
      <c r="E978" s="13" t="str">
        <f>IF(ISBLANK(D978), "", VLOOKUP(D978, Config!$F$6:$G$30, 2, FALSE()))</f>
        <v/>
      </c>
      <c r="F978" s="16"/>
    </row>
    <row r="979" ht="15.0" customHeight="1">
      <c r="A979" s="12"/>
      <c r="B979" s="13"/>
      <c r="C979" s="8"/>
      <c r="D979" s="8"/>
      <c r="E979" s="13" t="str">
        <f>IF(ISBLANK(D979), "", VLOOKUP(D979, Config!$F$6:$G$30, 2, FALSE()))</f>
        <v/>
      </c>
      <c r="F979" s="16"/>
    </row>
    <row r="980" ht="15.0" customHeight="1">
      <c r="A980" s="12"/>
      <c r="B980" s="13"/>
      <c r="C980" s="8"/>
      <c r="D980" s="8"/>
      <c r="E980" s="13" t="str">
        <f>IF(ISBLANK(D980), "", VLOOKUP(D980, Config!$F$6:$G$30, 2, FALSE()))</f>
        <v/>
      </c>
      <c r="F980" s="16"/>
    </row>
    <row r="981" ht="15.0" customHeight="1">
      <c r="A981" s="12"/>
      <c r="B981" s="13"/>
      <c r="C981" s="8"/>
      <c r="D981" s="8"/>
      <c r="E981" s="13" t="str">
        <f>IF(ISBLANK(D981), "", VLOOKUP(D981, Config!$F$6:$G$30, 2, FALSE()))</f>
        <v/>
      </c>
      <c r="F981" s="16"/>
    </row>
    <row r="982" ht="15.0" customHeight="1">
      <c r="A982" s="12"/>
      <c r="B982" s="13"/>
      <c r="C982" s="8"/>
      <c r="D982" s="8"/>
      <c r="E982" s="13" t="str">
        <f>IF(ISBLANK(D982), "", VLOOKUP(D982, Config!$F$6:$G$30, 2, FALSE()))</f>
        <v/>
      </c>
      <c r="F982" s="16"/>
    </row>
    <row r="983" ht="15.0" customHeight="1">
      <c r="A983" s="12"/>
      <c r="B983" s="13"/>
      <c r="C983" s="8"/>
      <c r="D983" s="8"/>
      <c r="E983" s="13" t="str">
        <f>IF(ISBLANK(D983), "", VLOOKUP(D983, Config!$F$6:$G$30, 2, FALSE()))</f>
        <v/>
      </c>
      <c r="F983" s="16"/>
    </row>
    <row r="984" ht="15.0" customHeight="1">
      <c r="A984" s="12"/>
      <c r="B984" s="13"/>
      <c r="C984" s="8"/>
      <c r="D984" s="8"/>
      <c r="E984" s="13" t="str">
        <f>IF(ISBLANK(D984), "", VLOOKUP(D984, Config!$F$6:$G$30, 2, FALSE()))</f>
        <v/>
      </c>
      <c r="F984" s="16"/>
    </row>
    <row r="985" ht="15.0" customHeight="1">
      <c r="A985" s="12"/>
      <c r="B985" s="13"/>
      <c r="C985" s="8"/>
      <c r="D985" s="8"/>
      <c r="E985" s="13" t="str">
        <f>IF(ISBLANK(D985), "", VLOOKUP(D985, Config!$F$6:$G$30, 2, FALSE()))</f>
        <v/>
      </c>
      <c r="F985" s="16"/>
    </row>
    <row r="986" ht="15.0" customHeight="1">
      <c r="A986" s="12"/>
      <c r="B986" s="13"/>
      <c r="C986" s="8"/>
      <c r="D986" s="8"/>
      <c r="E986" s="13" t="str">
        <f>IF(ISBLANK(D986), "", VLOOKUP(D986, Config!$F$6:$G$30, 2, FALSE()))</f>
        <v/>
      </c>
      <c r="F986" s="16"/>
    </row>
    <row r="987" ht="15.0" customHeight="1">
      <c r="A987" s="12"/>
      <c r="B987" s="13"/>
      <c r="C987" s="8"/>
      <c r="D987" s="8"/>
      <c r="E987" s="13" t="str">
        <f>IF(ISBLANK(D987), "", VLOOKUP(D987, Config!$F$6:$G$30, 2, FALSE()))</f>
        <v/>
      </c>
      <c r="F987" s="16"/>
    </row>
    <row r="988" ht="15.0" customHeight="1">
      <c r="A988" s="12"/>
      <c r="B988" s="13"/>
      <c r="C988" s="8"/>
      <c r="D988" s="8"/>
      <c r="E988" s="13" t="str">
        <f>IF(ISBLANK(D988), "", VLOOKUP(D988, Config!$F$6:$G$30, 2, FALSE()))</f>
        <v/>
      </c>
      <c r="F988" s="16"/>
    </row>
    <row r="989" ht="15.0" customHeight="1">
      <c r="A989" s="12"/>
      <c r="B989" s="13"/>
      <c r="C989" s="8"/>
      <c r="D989" s="8"/>
      <c r="E989" s="13" t="str">
        <f>IF(ISBLANK(D989), "", VLOOKUP(D989, Config!$F$6:$G$30, 2, FALSE()))</f>
        <v/>
      </c>
      <c r="F989" s="16"/>
    </row>
    <row r="990" ht="15.0" customHeight="1">
      <c r="A990" s="12"/>
      <c r="B990" s="13"/>
      <c r="C990" s="8"/>
      <c r="D990" s="8"/>
      <c r="E990" s="13" t="str">
        <f>IF(ISBLANK(D990), "", VLOOKUP(D990, Config!$F$6:$G$30, 2, FALSE()))</f>
        <v/>
      </c>
      <c r="F990" s="16"/>
    </row>
    <row r="991" ht="15.0" customHeight="1">
      <c r="A991" s="12"/>
      <c r="B991" s="13"/>
      <c r="C991" s="8"/>
      <c r="D991" s="8"/>
      <c r="E991" s="13" t="str">
        <f>IF(ISBLANK(D991), "", VLOOKUP(D991, Config!$F$6:$G$30, 2, FALSE()))</f>
        <v/>
      </c>
      <c r="F991" s="16"/>
    </row>
    <row r="992" ht="15.0" customHeight="1">
      <c r="A992" s="12"/>
      <c r="B992" s="13"/>
      <c r="C992" s="8"/>
      <c r="D992" s="8"/>
      <c r="E992" s="13" t="str">
        <f>IF(ISBLANK(D992), "", VLOOKUP(D992, Config!$F$6:$G$30, 2, FALSE()))</f>
        <v/>
      </c>
      <c r="F992" s="16"/>
    </row>
    <row r="993" ht="15.0" customHeight="1">
      <c r="A993" s="12"/>
      <c r="B993" s="13"/>
      <c r="C993" s="8"/>
      <c r="D993" s="8"/>
      <c r="E993" s="13" t="str">
        <f>IF(ISBLANK(D993), "", VLOOKUP(D993, Config!$F$6:$G$30, 2, FALSE()))</f>
        <v/>
      </c>
      <c r="F993" s="16"/>
    </row>
    <row r="994" ht="15.0" customHeight="1">
      <c r="A994" s="12"/>
      <c r="B994" s="13"/>
      <c r="C994" s="8"/>
      <c r="D994" s="8"/>
      <c r="E994" s="13" t="str">
        <f>IF(ISBLANK(D994), "", VLOOKUP(D994, Config!$F$6:$G$30, 2, FALSE()))</f>
        <v/>
      </c>
      <c r="F994" s="16"/>
    </row>
    <row r="995" ht="15.0" customHeight="1">
      <c r="A995" s="12"/>
      <c r="B995" s="13"/>
      <c r="C995" s="8"/>
      <c r="D995" s="8"/>
      <c r="E995" s="13" t="str">
        <f>IF(ISBLANK(D995), "", VLOOKUP(D995, Config!$F$6:$G$30, 2, FALSE()))</f>
        <v/>
      </c>
      <c r="F995" s="16"/>
    </row>
    <row r="996" ht="15.0" customHeight="1">
      <c r="A996" s="12"/>
      <c r="B996" s="13"/>
      <c r="C996" s="8"/>
      <c r="D996" s="8"/>
      <c r="E996" s="13" t="str">
        <f>IF(ISBLANK(D996), "", VLOOKUP(D996, Config!$F$6:$G$30, 2, FALSE()))</f>
        <v/>
      </c>
      <c r="F996" s="16"/>
    </row>
    <row r="997" ht="15.0" customHeight="1">
      <c r="A997" s="12"/>
      <c r="B997" s="13"/>
      <c r="C997" s="8"/>
      <c r="D997" s="8"/>
      <c r="E997" s="13" t="str">
        <f>IF(ISBLANK(D997), "", VLOOKUP(D997, Config!$F$6:$G$30, 2, FALSE()))</f>
        <v/>
      </c>
      <c r="F997" s="16"/>
    </row>
    <row r="998" ht="15.0" customHeight="1">
      <c r="A998" s="12"/>
      <c r="B998" s="13"/>
      <c r="C998" s="8"/>
      <c r="D998" s="8"/>
      <c r="E998" s="13" t="str">
        <f>IF(ISBLANK(D998), "", VLOOKUP(D998, Config!$F$6:$G$30, 2, FALSE()))</f>
        <v/>
      </c>
      <c r="F998" s="16"/>
    </row>
    <row r="999" ht="15.0" customHeight="1">
      <c r="A999" s="12"/>
      <c r="B999" s="13"/>
      <c r="C999" s="8"/>
      <c r="D999" s="8"/>
      <c r="E999" s="13" t="str">
        <f>IF(ISBLANK(D999), "", VLOOKUP(D999, Config!$F$6:$G$30, 2, FALSE()))</f>
        <v/>
      </c>
      <c r="F999" s="16"/>
    </row>
    <row r="1000" ht="15.0" customHeight="1">
      <c r="A1000" s="12"/>
      <c r="B1000" s="13"/>
      <c r="C1000" s="8"/>
      <c r="D1000" s="8"/>
      <c r="E1000" s="13" t="str">
        <f>IF(ISBLANK(D1000), "", VLOOKUP(D1000, Config!$F$6:$G$30, 2, FALSE()))</f>
        <v/>
      </c>
      <c r="F1000" s="16"/>
    </row>
    <row r="1001" ht="15.0" customHeight="1">
      <c r="A1001" s="12"/>
      <c r="B1001" s="13"/>
      <c r="C1001" s="8"/>
      <c r="D1001" s="8"/>
      <c r="E1001" s="13" t="str">
        <f>IF(ISBLANK(D1001), "", VLOOKUP(D1001, Config!$F$6:$G$30, 2, FALSE()))</f>
        <v/>
      </c>
      <c r="F1001" s="16"/>
    </row>
    <row r="1002" ht="15.0" customHeight="1">
      <c r="A1002" s="12"/>
      <c r="B1002" s="13"/>
      <c r="C1002" s="8"/>
      <c r="D1002" s="8"/>
      <c r="E1002" s="13" t="str">
        <f>IF(ISBLANK(D1002), "", VLOOKUP(D1002, Config!$F$6:$G$30, 2, FALSE()))</f>
        <v/>
      </c>
      <c r="F1002" s="16"/>
    </row>
    <row r="1003" ht="15.0" customHeight="1">
      <c r="A1003" s="12"/>
      <c r="B1003" s="13"/>
      <c r="C1003" s="8"/>
      <c r="D1003" s="8"/>
      <c r="E1003" s="13" t="str">
        <f>IF(ISBLANK(D1003), "", VLOOKUP(D1003, Config!$F$6:$G$30, 2, FALSE()))</f>
        <v/>
      </c>
      <c r="F1003" s="16"/>
    </row>
    <row r="1004" ht="15.0" customHeight="1">
      <c r="A1004" s="12"/>
      <c r="B1004" s="13"/>
      <c r="C1004" s="8"/>
      <c r="D1004" s="8"/>
      <c r="E1004" s="13" t="str">
        <f>IF(ISBLANK(D1004), "", VLOOKUP(D1004, Config!$F$6:$G$30, 2, FALSE()))</f>
        <v/>
      </c>
      <c r="F1004" s="16"/>
    </row>
    <row r="1005" ht="15.0" customHeight="1">
      <c r="A1005" s="12"/>
      <c r="B1005" s="13"/>
      <c r="C1005" s="8"/>
      <c r="D1005" s="8"/>
      <c r="E1005" s="13" t="str">
        <f>IF(ISBLANK(D1005), "", VLOOKUP(D1005, Config!$F$6:$G$30, 2, FALSE()))</f>
        <v/>
      </c>
      <c r="F1005" s="16"/>
    </row>
    <row r="1006" ht="15.0" customHeight="1">
      <c r="A1006" s="12"/>
      <c r="B1006" s="13"/>
      <c r="C1006" s="8"/>
      <c r="D1006" s="8"/>
      <c r="E1006" s="13" t="str">
        <f>IF(ISBLANK(D1006), "", VLOOKUP(D1006, Config!$F$6:$G$30, 2, FALSE()))</f>
        <v/>
      </c>
      <c r="F1006" s="16"/>
    </row>
    <row r="1007" ht="15.0" customHeight="1">
      <c r="A1007" s="12"/>
      <c r="B1007" s="13"/>
      <c r="C1007" s="8"/>
      <c r="D1007" s="8"/>
      <c r="E1007" s="13" t="str">
        <f>IF(ISBLANK(D1007), "", VLOOKUP(D1007, Config!$F$6:$G$30, 2, FALSE()))</f>
        <v/>
      </c>
      <c r="F1007" s="16"/>
    </row>
    <row r="1008" ht="15.0" customHeight="1">
      <c r="A1008" s="12"/>
      <c r="B1008" s="13"/>
      <c r="C1008" s="8"/>
      <c r="D1008" s="8"/>
      <c r="E1008" s="13" t="str">
        <f>IF(ISBLANK(D1008), "", VLOOKUP(D1008, Config!$F$6:$G$30, 2, FALSE()))</f>
        <v/>
      </c>
      <c r="F1008" s="16"/>
    </row>
    <row r="1009" ht="15.0" customHeight="1">
      <c r="A1009" s="12"/>
      <c r="B1009" s="13"/>
      <c r="C1009" s="8"/>
      <c r="D1009" s="8"/>
      <c r="E1009" s="13" t="str">
        <f>IF(ISBLANK(D1009), "", VLOOKUP(D1009, Config!$F$6:$G$30, 2, FALSE()))</f>
        <v/>
      </c>
      <c r="F1009" s="16"/>
    </row>
    <row r="1010" ht="15.0" customHeight="1">
      <c r="A1010" s="12"/>
      <c r="B1010" s="13"/>
      <c r="C1010" s="8"/>
      <c r="D1010" s="8"/>
      <c r="E1010" s="13" t="str">
        <f>IF(ISBLANK(D1010), "", VLOOKUP(D1010, Config!$F$6:$G$30, 2, FALSE()))</f>
        <v/>
      </c>
      <c r="F1010" s="16"/>
    </row>
    <row r="1011" ht="15.0" customHeight="1">
      <c r="A1011" s="12"/>
      <c r="B1011" s="13"/>
      <c r="C1011" s="8"/>
      <c r="D1011" s="8"/>
      <c r="E1011" s="13" t="str">
        <f>IF(ISBLANK(D1011), "", VLOOKUP(D1011, Config!$F$6:$G$30, 2, FALSE()))</f>
        <v/>
      </c>
      <c r="F1011" s="16"/>
    </row>
    <row r="1012" ht="15.0" customHeight="1">
      <c r="A1012" s="12"/>
      <c r="B1012" s="13"/>
      <c r="C1012" s="8"/>
      <c r="D1012" s="8"/>
      <c r="E1012" s="13" t="str">
        <f>IF(ISBLANK(D1012), "", VLOOKUP(D1012, Config!$F$6:$G$30, 2, FALSE()))</f>
        <v/>
      </c>
      <c r="F1012" s="16"/>
    </row>
    <row r="1013" ht="15.0" customHeight="1">
      <c r="A1013" s="12"/>
      <c r="B1013" s="13"/>
      <c r="C1013" s="8"/>
      <c r="D1013" s="8"/>
      <c r="E1013" s="13" t="str">
        <f>IF(ISBLANK(D1013), "", VLOOKUP(D1013, Config!$F$6:$G$30, 2, FALSE()))</f>
        <v/>
      </c>
      <c r="F1013" s="16"/>
    </row>
    <row r="1014" ht="15.0" customHeight="1">
      <c r="A1014" s="12"/>
      <c r="B1014" s="13"/>
      <c r="C1014" s="8"/>
      <c r="D1014" s="8"/>
      <c r="E1014" s="13" t="str">
        <f>IF(ISBLANK(D1014), "", VLOOKUP(D1014, Config!$F$6:$G$30, 2, FALSE()))</f>
        <v/>
      </c>
      <c r="F1014" s="16"/>
    </row>
    <row r="1015" ht="15.0" customHeight="1">
      <c r="A1015" s="12"/>
      <c r="B1015" s="13"/>
      <c r="C1015" s="8"/>
      <c r="D1015" s="8"/>
      <c r="E1015" s="13" t="str">
        <f>IF(ISBLANK(D1015), "", VLOOKUP(D1015, Config!$F$6:$G$30, 2, FALSE()))</f>
        <v/>
      </c>
      <c r="F1015" s="16"/>
    </row>
    <row r="1016" ht="15.0" customHeight="1">
      <c r="A1016" s="12"/>
      <c r="B1016" s="13"/>
      <c r="C1016" s="8"/>
      <c r="D1016" s="8"/>
      <c r="E1016" s="13" t="str">
        <f>IF(ISBLANK(D1016), "", VLOOKUP(D1016, Config!$F$6:$G$30, 2, FALSE()))</f>
        <v/>
      </c>
      <c r="F1016" s="16"/>
    </row>
    <row r="1017" ht="15.0" customHeight="1">
      <c r="A1017" s="12"/>
      <c r="B1017" s="13"/>
      <c r="C1017" s="8"/>
      <c r="D1017" s="8"/>
      <c r="E1017" s="13" t="str">
        <f>IF(ISBLANK(D1017), "", VLOOKUP(D1017, Config!$F$6:$G$30, 2, FALSE()))</f>
        <v/>
      </c>
      <c r="F1017" s="16"/>
    </row>
    <row r="1018" ht="15.0" customHeight="1">
      <c r="A1018" s="12"/>
      <c r="B1018" s="13"/>
      <c r="C1018" s="8"/>
      <c r="D1018" s="8"/>
      <c r="E1018" s="13" t="str">
        <f>IF(ISBLANK(D1018), "", VLOOKUP(D1018, Config!$F$6:$G$30, 2, FALSE()))</f>
        <v/>
      </c>
      <c r="F1018" s="16"/>
    </row>
    <row r="1019" ht="15.0" customHeight="1">
      <c r="A1019" s="12"/>
      <c r="B1019" s="13"/>
      <c r="C1019" s="8"/>
      <c r="D1019" s="8"/>
      <c r="E1019" s="13" t="str">
        <f>IF(ISBLANK(D1019), "", VLOOKUP(D1019, Config!$F$6:$G$30, 2, FALSE()))</f>
        <v/>
      </c>
      <c r="F1019" s="16"/>
    </row>
    <row r="1020" ht="15.0" customHeight="1">
      <c r="A1020" s="12"/>
      <c r="B1020" s="13"/>
      <c r="C1020" s="8"/>
      <c r="D1020" s="8"/>
      <c r="E1020" s="13" t="str">
        <f>IF(ISBLANK(D1020), "", VLOOKUP(D1020, Config!$F$6:$G$30, 2, FALSE()))</f>
        <v/>
      </c>
      <c r="F1020" s="16"/>
    </row>
    <row r="1021" ht="15.0" customHeight="1">
      <c r="A1021" s="12"/>
      <c r="B1021" s="13"/>
      <c r="C1021" s="8"/>
      <c r="D1021" s="8"/>
      <c r="E1021" s="13" t="str">
        <f>IF(ISBLANK(D1021), "", VLOOKUP(D1021, Config!$F$6:$G$30, 2, FALSE()))</f>
        <v/>
      </c>
      <c r="F1021" s="16"/>
    </row>
    <row r="1022" ht="15.0" customHeight="1">
      <c r="A1022" s="12"/>
      <c r="B1022" s="13"/>
      <c r="C1022" s="8"/>
      <c r="D1022" s="8"/>
      <c r="E1022" s="13" t="str">
        <f>IF(ISBLANK(D1022), "", VLOOKUP(D1022, Config!$F$6:$G$30, 2, FALSE()))</f>
        <v/>
      </c>
      <c r="F1022" s="16"/>
    </row>
    <row r="1023" ht="15.0" customHeight="1">
      <c r="A1023" s="12"/>
      <c r="B1023" s="13"/>
      <c r="C1023" s="8"/>
      <c r="D1023" s="8"/>
      <c r="E1023" s="13" t="str">
        <f>IF(ISBLANK(D1023), "", VLOOKUP(D1023, Config!$F$6:$G$30, 2, FALSE()))</f>
        <v/>
      </c>
      <c r="F1023" s="16"/>
    </row>
    <row r="1024" ht="15.0" customHeight="1">
      <c r="A1024" s="12"/>
      <c r="B1024" s="13"/>
      <c r="C1024" s="8"/>
      <c r="D1024" s="8"/>
      <c r="E1024" s="13" t="str">
        <f>IF(ISBLANK(D1024), "", VLOOKUP(D1024, Config!$F$6:$G$30, 2, FALSE()))</f>
        <v/>
      </c>
      <c r="F1024" s="16"/>
    </row>
    <row r="1025" ht="15.0" customHeight="1">
      <c r="A1025" s="12"/>
      <c r="B1025" s="13"/>
      <c r="C1025" s="8"/>
      <c r="D1025" s="8"/>
      <c r="E1025" s="13" t="str">
        <f>IF(ISBLANK(D1025), "", VLOOKUP(D1025, Config!$F$6:$G$30, 2, FALSE()))</f>
        <v/>
      </c>
      <c r="F1025" s="16"/>
    </row>
    <row r="1026" ht="15.0" customHeight="1">
      <c r="A1026" s="12"/>
      <c r="B1026" s="13"/>
      <c r="C1026" s="8"/>
      <c r="D1026" s="8"/>
      <c r="E1026" s="13" t="str">
        <f>IF(ISBLANK(D1026), "", VLOOKUP(D1026, Config!$F$6:$G$30, 2, FALSE()))</f>
        <v/>
      </c>
      <c r="F1026" s="16"/>
    </row>
    <row r="1027" ht="15.0" customHeight="1">
      <c r="A1027" s="12"/>
      <c r="B1027" s="13"/>
      <c r="C1027" s="8"/>
      <c r="D1027" s="8"/>
      <c r="E1027" s="13" t="str">
        <f>IF(ISBLANK(D1027), "", VLOOKUP(D1027, Config!$F$6:$G$30, 2, FALSE()))</f>
        <v/>
      </c>
      <c r="F1027" s="16"/>
    </row>
    <row r="1028" ht="15.0" customHeight="1">
      <c r="A1028" s="12"/>
      <c r="B1028" s="13"/>
      <c r="C1028" s="8"/>
      <c r="D1028" s="8"/>
      <c r="E1028" s="13" t="str">
        <f>IF(ISBLANK(D1028), "", VLOOKUP(D1028, Config!$F$6:$G$30, 2, FALSE()))</f>
        <v/>
      </c>
      <c r="F1028" s="16"/>
    </row>
    <row r="1029" ht="15.0" customHeight="1">
      <c r="A1029" s="12"/>
      <c r="B1029" s="13"/>
      <c r="C1029" s="8"/>
      <c r="D1029" s="8"/>
      <c r="E1029" s="13" t="str">
        <f>IF(ISBLANK(D1029), "", VLOOKUP(D1029, Config!$F$6:$G$30, 2, FALSE()))</f>
        <v/>
      </c>
      <c r="F1029" s="16"/>
    </row>
    <row r="1030" ht="15.0" customHeight="1">
      <c r="A1030" s="12"/>
      <c r="B1030" s="13"/>
      <c r="C1030" s="8"/>
      <c r="D1030" s="8"/>
      <c r="E1030" s="13" t="str">
        <f>IF(ISBLANK(D1030), "", VLOOKUP(D1030, Config!$F$6:$G$30, 2, FALSE()))</f>
        <v/>
      </c>
      <c r="F1030" s="16"/>
    </row>
    <row r="1031" ht="15.0" customHeight="1">
      <c r="A1031" s="12"/>
      <c r="B1031" s="13"/>
      <c r="C1031" s="8"/>
      <c r="D1031" s="8"/>
      <c r="E1031" s="13" t="str">
        <f>IF(ISBLANK(D1031), "", VLOOKUP(D1031, Config!$F$6:$G$30, 2, FALSE()))</f>
        <v/>
      </c>
      <c r="F1031" s="16"/>
    </row>
    <row r="1032" ht="15.0" customHeight="1">
      <c r="A1032" s="12"/>
      <c r="B1032" s="13"/>
      <c r="C1032" s="8"/>
      <c r="D1032" s="8"/>
      <c r="E1032" s="13" t="str">
        <f>IF(ISBLANK(D1032), "", VLOOKUP(D1032, Config!$F$6:$G$30, 2, FALSE()))</f>
        <v/>
      </c>
      <c r="F1032" s="16"/>
    </row>
    <row r="1033" ht="15.0" customHeight="1">
      <c r="A1033" s="12"/>
      <c r="B1033" s="13"/>
      <c r="C1033" s="8"/>
      <c r="D1033" s="8"/>
      <c r="E1033" s="13" t="str">
        <f>IF(ISBLANK(D1033), "", VLOOKUP(D1033, Config!$F$6:$G$30, 2, FALSE()))</f>
        <v/>
      </c>
      <c r="F1033" s="16"/>
    </row>
    <row r="1034" ht="15.0" customHeight="1">
      <c r="A1034" s="12"/>
      <c r="B1034" s="13"/>
      <c r="C1034" s="8"/>
      <c r="D1034" s="8"/>
      <c r="E1034" s="13" t="str">
        <f>IF(ISBLANK(D1034), "", VLOOKUP(D1034, Config!$F$6:$G$30, 2, FALSE()))</f>
        <v/>
      </c>
      <c r="F1034" s="16"/>
    </row>
    <row r="1035" ht="15.0" customHeight="1">
      <c r="A1035" s="12"/>
      <c r="B1035" s="13"/>
      <c r="C1035" s="8"/>
      <c r="D1035" s="8"/>
      <c r="E1035" s="13" t="str">
        <f>IF(ISBLANK(D1035), "", VLOOKUP(D1035, Config!$F$6:$G$30, 2, FALSE()))</f>
        <v/>
      </c>
      <c r="F1035" s="16"/>
    </row>
    <row r="1036" ht="15.0" customHeight="1">
      <c r="A1036" s="12"/>
      <c r="B1036" s="13"/>
      <c r="C1036" s="8"/>
      <c r="D1036" s="8"/>
      <c r="E1036" s="13" t="str">
        <f>IF(ISBLANK(D1036), "", VLOOKUP(D1036, Config!$F$6:$G$30, 2, FALSE()))</f>
        <v/>
      </c>
      <c r="F1036" s="16"/>
    </row>
    <row r="1037" ht="15.0" customHeight="1">
      <c r="A1037" s="12"/>
      <c r="B1037" s="13"/>
      <c r="C1037" s="8"/>
      <c r="D1037" s="8"/>
      <c r="E1037" s="13" t="str">
        <f>IF(ISBLANK(D1037), "", VLOOKUP(D1037, Config!$F$6:$G$30, 2, FALSE()))</f>
        <v/>
      </c>
      <c r="F1037" s="16"/>
    </row>
    <row r="1038" ht="15.0" customHeight="1">
      <c r="A1038" s="12"/>
      <c r="B1038" s="13"/>
      <c r="C1038" s="8"/>
      <c r="D1038" s="8"/>
      <c r="E1038" s="13" t="str">
        <f>IF(ISBLANK(D1038), "", VLOOKUP(D1038, Config!$F$6:$G$30, 2, FALSE()))</f>
        <v/>
      </c>
      <c r="F1038" s="16"/>
    </row>
    <row r="1039" ht="15.0" customHeight="1">
      <c r="A1039" s="12"/>
      <c r="B1039" s="13"/>
      <c r="C1039" s="8"/>
      <c r="D1039" s="8"/>
      <c r="E1039" s="13" t="str">
        <f>IF(ISBLANK(D1039), "", VLOOKUP(D1039, Config!$F$6:$G$30, 2, FALSE()))</f>
        <v/>
      </c>
      <c r="F1039" s="16"/>
    </row>
    <row r="1040" ht="15.0" customHeight="1">
      <c r="A1040" s="12"/>
      <c r="B1040" s="13"/>
      <c r="C1040" s="8"/>
      <c r="D1040" s="8"/>
      <c r="E1040" s="13" t="str">
        <f>IF(ISBLANK(D1040), "", VLOOKUP(D1040, Config!$F$6:$G$30, 2, FALSE()))</f>
        <v/>
      </c>
      <c r="F1040" s="16"/>
    </row>
    <row r="1041" ht="15.0" customHeight="1">
      <c r="A1041" s="12"/>
      <c r="B1041" s="13"/>
      <c r="C1041" s="8"/>
      <c r="D1041" s="8"/>
      <c r="E1041" s="13" t="str">
        <f>IF(ISBLANK(D1041), "", VLOOKUP(D1041, Config!$F$6:$G$30, 2, FALSE()))</f>
        <v/>
      </c>
      <c r="F1041" s="16"/>
    </row>
    <row r="1042" ht="15.0" customHeight="1">
      <c r="A1042" s="12"/>
      <c r="B1042" s="13"/>
      <c r="C1042" s="8"/>
      <c r="D1042" s="8"/>
      <c r="E1042" s="13" t="str">
        <f>IF(ISBLANK(D1042), "", VLOOKUP(D1042, Config!$F$6:$G$30, 2, FALSE()))</f>
        <v/>
      </c>
      <c r="F1042" s="16"/>
    </row>
    <row r="1043" ht="15.0" customHeight="1">
      <c r="A1043" s="12"/>
      <c r="B1043" s="13"/>
      <c r="C1043" s="8"/>
      <c r="D1043" s="8"/>
      <c r="E1043" s="13" t="str">
        <f>IF(ISBLANK(D1043), "", VLOOKUP(D1043, Config!$F$6:$G$30, 2, FALSE()))</f>
        <v/>
      </c>
      <c r="F1043" s="16"/>
    </row>
    <row r="1044" ht="15.0" customHeight="1">
      <c r="A1044" s="12"/>
      <c r="B1044" s="13"/>
      <c r="C1044" s="8"/>
      <c r="D1044" s="8"/>
      <c r="E1044" s="13" t="str">
        <f>IF(ISBLANK(D1044), "", VLOOKUP(D1044, Config!$F$6:$G$30, 2, FALSE()))</f>
        <v/>
      </c>
      <c r="F1044" s="16"/>
    </row>
    <row r="1045" ht="15.0" customHeight="1">
      <c r="A1045" s="12"/>
      <c r="B1045" s="13"/>
      <c r="C1045" s="8"/>
      <c r="D1045" s="8"/>
      <c r="E1045" s="13" t="str">
        <f>IF(ISBLANK(D1045), "", VLOOKUP(D1045, Config!$F$6:$G$30, 2, FALSE()))</f>
        <v/>
      </c>
      <c r="F1045" s="16"/>
    </row>
    <row r="1046" ht="15.0" customHeight="1">
      <c r="A1046" s="12"/>
      <c r="B1046" s="13"/>
      <c r="C1046" s="8"/>
      <c r="D1046" s="8"/>
      <c r="E1046" s="13" t="str">
        <f>IF(ISBLANK(D1046), "", VLOOKUP(D1046, Config!$F$6:$G$30, 2, FALSE()))</f>
        <v/>
      </c>
      <c r="F1046" s="16"/>
    </row>
    <row r="1047" ht="15.0" customHeight="1">
      <c r="A1047" s="12"/>
      <c r="B1047" s="13"/>
      <c r="C1047" s="8"/>
      <c r="D1047" s="8"/>
      <c r="E1047" s="13" t="str">
        <f>IF(ISBLANK(D1047), "", VLOOKUP(D1047, Config!$F$6:$G$30, 2, FALSE()))</f>
        <v/>
      </c>
      <c r="F1047" s="16"/>
    </row>
    <row r="1048" ht="15.0" customHeight="1">
      <c r="A1048" s="12"/>
      <c r="B1048" s="13"/>
      <c r="C1048" s="8"/>
      <c r="D1048" s="8"/>
      <c r="E1048" s="13" t="str">
        <f>IF(ISBLANK(D1048), "", VLOOKUP(D1048, Config!$F$6:$G$30, 2, FALSE()))</f>
        <v/>
      </c>
      <c r="F1048" s="16"/>
    </row>
    <row r="1049" ht="15.0" customHeight="1">
      <c r="A1049" s="12"/>
      <c r="B1049" s="13"/>
      <c r="C1049" s="8"/>
      <c r="D1049" s="8"/>
      <c r="E1049" s="13" t="str">
        <f>IF(ISBLANK(D1049), "", VLOOKUP(D1049, Config!$F$6:$G$30, 2, FALSE()))</f>
        <v/>
      </c>
      <c r="F1049" s="16"/>
    </row>
    <row r="1050" ht="15.0" customHeight="1">
      <c r="A1050" s="12"/>
      <c r="B1050" s="13"/>
      <c r="C1050" s="8"/>
      <c r="D1050" s="8"/>
      <c r="E1050" s="13" t="str">
        <f>IF(ISBLANK(D1050), "", VLOOKUP(D1050, Config!$F$6:$G$30, 2, FALSE()))</f>
        <v/>
      </c>
      <c r="F1050" s="16"/>
    </row>
    <row r="1051" ht="15.0" customHeight="1">
      <c r="A1051" s="12"/>
      <c r="B1051" s="13"/>
      <c r="C1051" s="8"/>
      <c r="D1051" s="8"/>
      <c r="E1051" s="13" t="str">
        <f>IF(ISBLANK(D1051), "", VLOOKUP(D1051, Config!$F$6:$G$30, 2, FALSE()))</f>
        <v/>
      </c>
      <c r="F1051" s="16"/>
    </row>
    <row r="1052" ht="15.0" customHeight="1">
      <c r="A1052" s="12"/>
      <c r="B1052" s="13"/>
      <c r="C1052" s="8"/>
      <c r="D1052" s="8"/>
      <c r="E1052" s="13" t="str">
        <f>IF(ISBLANK(D1052), "", VLOOKUP(D1052, Config!$F$6:$G$30, 2, FALSE()))</f>
        <v/>
      </c>
      <c r="F1052" s="16"/>
    </row>
    <row r="1053" ht="15.0" customHeight="1">
      <c r="A1053" s="12"/>
      <c r="B1053" s="13"/>
      <c r="C1053" s="8"/>
      <c r="D1053" s="8"/>
      <c r="E1053" s="13" t="str">
        <f>IF(ISBLANK(D1053), "", VLOOKUP(D1053, Config!$F$6:$G$30, 2, FALSE()))</f>
        <v/>
      </c>
      <c r="F1053" s="16"/>
    </row>
    <row r="1054" ht="15.0" customHeight="1">
      <c r="A1054" s="12"/>
      <c r="B1054" s="13"/>
      <c r="C1054" s="8"/>
      <c r="D1054" s="8"/>
      <c r="E1054" s="13" t="str">
        <f>IF(ISBLANK(D1054), "", VLOOKUP(D1054, Config!$F$6:$G$30, 2, FALSE()))</f>
        <v/>
      </c>
      <c r="F1054" s="16"/>
    </row>
    <row r="1055" ht="15.0" customHeight="1">
      <c r="A1055" s="12"/>
      <c r="B1055" s="13"/>
      <c r="C1055" s="8"/>
      <c r="D1055" s="8"/>
      <c r="E1055" s="13" t="str">
        <f>IF(ISBLANK(D1055), "", VLOOKUP(D1055, Config!$F$6:$G$30, 2, FALSE()))</f>
        <v/>
      </c>
      <c r="F1055" s="16"/>
    </row>
    <row r="1056" ht="15.0" customHeight="1">
      <c r="A1056" s="12"/>
      <c r="B1056" s="13"/>
      <c r="C1056" s="8"/>
      <c r="D1056" s="8"/>
      <c r="E1056" s="13" t="str">
        <f>IF(ISBLANK(D1056), "", VLOOKUP(D1056, Config!$F$6:$G$30, 2, FALSE()))</f>
        <v/>
      </c>
      <c r="F1056" s="16"/>
    </row>
    <row r="1057" ht="15.0" customHeight="1">
      <c r="A1057" s="12"/>
      <c r="B1057" s="13"/>
      <c r="C1057" s="8"/>
      <c r="D1057" s="8"/>
      <c r="E1057" s="13" t="str">
        <f>IF(ISBLANK(D1057), "", VLOOKUP(D1057, Config!$F$6:$G$30, 2, FALSE()))</f>
        <v/>
      </c>
      <c r="F1057" s="16"/>
    </row>
    <row r="1058" ht="15.0" customHeight="1">
      <c r="A1058" s="12"/>
      <c r="B1058" s="13"/>
      <c r="C1058" s="8"/>
      <c r="D1058" s="8"/>
      <c r="E1058" s="13" t="str">
        <f>IF(ISBLANK(D1058), "", VLOOKUP(D1058, Config!$F$6:$G$30, 2, FALSE()))</f>
        <v/>
      </c>
      <c r="F1058" s="16"/>
    </row>
    <row r="1059" ht="15.0" customHeight="1">
      <c r="A1059" s="12"/>
      <c r="B1059" s="13"/>
      <c r="C1059" s="8"/>
      <c r="D1059" s="8"/>
      <c r="E1059" s="13" t="str">
        <f>IF(ISBLANK(D1059), "", VLOOKUP(D1059, Config!$F$6:$G$30, 2, FALSE()))</f>
        <v/>
      </c>
      <c r="F1059" s="16"/>
    </row>
    <row r="1060" ht="15.0" customHeight="1">
      <c r="A1060" s="12"/>
      <c r="B1060" s="13"/>
      <c r="C1060" s="8"/>
      <c r="D1060" s="8"/>
      <c r="E1060" s="13" t="str">
        <f>IF(ISBLANK(D1060), "", VLOOKUP(D1060, Config!$F$6:$G$30, 2, FALSE()))</f>
        <v/>
      </c>
      <c r="F1060" s="16"/>
    </row>
    <row r="1061" ht="15.0" customHeight="1">
      <c r="A1061" s="12"/>
      <c r="B1061" s="13"/>
      <c r="C1061" s="8"/>
      <c r="D1061" s="8"/>
      <c r="E1061" s="13" t="str">
        <f>IF(ISBLANK(D1061), "", VLOOKUP(D1061, Config!$F$6:$G$30, 2, FALSE()))</f>
        <v/>
      </c>
      <c r="F1061" s="16"/>
    </row>
    <row r="1062" ht="15.0" customHeight="1">
      <c r="A1062" s="12"/>
      <c r="B1062" s="13"/>
      <c r="C1062" s="8"/>
      <c r="D1062" s="8"/>
      <c r="E1062" s="13" t="str">
        <f>IF(ISBLANK(D1062), "", VLOOKUP(D1062, Config!$F$6:$G$30, 2, FALSE()))</f>
        <v/>
      </c>
      <c r="F1062" s="16"/>
    </row>
    <row r="1063" ht="15.0" customHeight="1">
      <c r="A1063" s="12"/>
      <c r="B1063" s="13"/>
      <c r="C1063" s="8"/>
      <c r="D1063" s="8"/>
      <c r="E1063" s="13" t="str">
        <f>IF(ISBLANK(D1063), "", VLOOKUP(D1063, Config!$F$6:$G$30, 2, FALSE()))</f>
        <v/>
      </c>
      <c r="F1063" s="16"/>
    </row>
    <row r="1064" ht="15.0" customHeight="1">
      <c r="A1064" s="12"/>
      <c r="B1064" s="13"/>
      <c r="C1064" s="8"/>
      <c r="D1064" s="8"/>
      <c r="E1064" s="13" t="str">
        <f>IF(ISBLANK(D1064), "", VLOOKUP(D1064, Config!$F$6:$G$30, 2, FALSE()))</f>
        <v/>
      </c>
      <c r="F1064" s="16"/>
    </row>
    <row r="1065" ht="15.0" customHeight="1">
      <c r="A1065" s="12"/>
      <c r="B1065" s="13"/>
      <c r="C1065" s="8"/>
      <c r="D1065" s="8"/>
      <c r="E1065" s="13" t="str">
        <f>IF(ISBLANK(D1065), "", VLOOKUP(D1065, Config!$F$6:$G$30, 2, FALSE()))</f>
        <v/>
      </c>
      <c r="F1065" s="16"/>
    </row>
    <row r="1066" ht="15.0" customHeight="1">
      <c r="A1066" s="12"/>
      <c r="B1066" s="13"/>
      <c r="C1066" s="8"/>
      <c r="D1066" s="8"/>
      <c r="E1066" s="13" t="str">
        <f>IF(ISBLANK(D1066), "", VLOOKUP(D1066, Config!$F$6:$G$30, 2, FALSE()))</f>
        <v/>
      </c>
      <c r="F1066" s="16"/>
    </row>
    <row r="1067" ht="15.0" customHeight="1">
      <c r="A1067" s="12"/>
      <c r="B1067" s="13"/>
      <c r="C1067" s="8"/>
      <c r="D1067" s="8"/>
      <c r="E1067" s="13" t="str">
        <f>IF(ISBLANK(D1067), "", VLOOKUP(D1067, Config!$F$6:$G$30, 2, FALSE()))</f>
        <v/>
      </c>
      <c r="F1067" s="16"/>
    </row>
    <row r="1068" ht="15.0" customHeight="1">
      <c r="A1068" s="12"/>
      <c r="B1068" s="13"/>
      <c r="C1068" s="8"/>
      <c r="D1068" s="8"/>
      <c r="E1068" s="13" t="str">
        <f>IF(ISBLANK(D1068), "", VLOOKUP(D1068, Config!$F$6:$G$30, 2, FALSE()))</f>
        <v/>
      </c>
      <c r="F1068" s="16"/>
    </row>
    <row r="1069" ht="15.0" customHeight="1">
      <c r="A1069" s="12"/>
      <c r="B1069" s="13"/>
      <c r="C1069" s="8"/>
      <c r="D1069" s="8"/>
      <c r="E1069" s="13" t="str">
        <f>IF(ISBLANK(D1069), "", VLOOKUP(D1069, Config!$F$6:$G$30, 2, FALSE()))</f>
        <v/>
      </c>
      <c r="F1069" s="16"/>
    </row>
    <row r="1070" ht="15.0" customHeight="1">
      <c r="A1070" s="12"/>
      <c r="B1070" s="13"/>
      <c r="C1070" s="8"/>
      <c r="D1070" s="8"/>
      <c r="E1070" s="13" t="str">
        <f>IF(ISBLANK(D1070), "", VLOOKUP(D1070, Config!$F$6:$G$30, 2, FALSE()))</f>
        <v/>
      </c>
      <c r="F1070" s="16"/>
    </row>
    <row r="1071" ht="15.0" customHeight="1">
      <c r="A1071" s="12"/>
      <c r="B1071" s="13"/>
      <c r="C1071" s="8"/>
      <c r="D1071" s="8"/>
      <c r="E1071" s="13" t="str">
        <f>IF(ISBLANK(D1071), "", VLOOKUP(D1071, Config!$F$6:$G$30, 2, FALSE()))</f>
        <v/>
      </c>
      <c r="F1071" s="16"/>
    </row>
    <row r="1072" ht="15.0" customHeight="1">
      <c r="A1072" s="12"/>
      <c r="B1072" s="13"/>
      <c r="C1072" s="8"/>
      <c r="D1072" s="8"/>
      <c r="E1072" s="13" t="str">
        <f>IF(ISBLANK(D1072), "", VLOOKUP(D1072, Config!$F$6:$G$30, 2, FALSE()))</f>
        <v/>
      </c>
      <c r="F1072" s="16"/>
    </row>
    <row r="1073" ht="15.0" customHeight="1">
      <c r="A1073" s="12"/>
      <c r="B1073" s="13"/>
      <c r="C1073" s="8"/>
      <c r="D1073" s="8"/>
      <c r="E1073" s="13" t="str">
        <f>IF(ISBLANK(D1073), "", VLOOKUP(D1073, Config!$F$6:$G$30, 2, FALSE()))</f>
        <v/>
      </c>
      <c r="F1073" s="16"/>
    </row>
    <row r="1074" ht="15.0" customHeight="1">
      <c r="A1074" s="12"/>
      <c r="B1074" s="13"/>
      <c r="C1074" s="8"/>
      <c r="D1074" s="8"/>
      <c r="E1074" s="13" t="str">
        <f>IF(ISBLANK(D1074), "", VLOOKUP(D1074, Config!$F$6:$G$30, 2, FALSE()))</f>
        <v/>
      </c>
      <c r="F1074" s="16"/>
    </row>
    <row r="1075" ht="15.0" customHeight="1">
      <c r="A1075" s="12"/>
      <c r="B1075" s="13"/>
      <c r="C1075" s="8"/>
      <c r="D1075" s="8"/>
      <c r="E1075" s="13" t="str">
        <f>IF(ISBLANK(D1075), "", VLOOKUP(D1075, Config!$F$6:$G$30, 2, FALSE()))</f>
        <v/>
      </c>
      <c r="F1075" s="16"/>
    </row>
    <row r="1076" ht="15.0" customHeight="1">
      <c r="A1076" s="12"/>
      <c r="B1076" s="13"/>
      <c r="C1076" s="8"/>
      <c r="D1076" s="8"/>
      <c r="E1076" s="13" t="str">
        <f>IF(ISBLANK(D1076), "", VLOOKUP(D1076, Config!$F$6:$G$30, 2, FALSE()))</f>
        <v/>
      </c>
      <c r="F1076" s="16"/>
    </row>
    <row r="1077" ht="15.0" customHeight="1">
      <c r="A1077" s="12"/>
      <c r="B1077" s="13"/>
      <c r="C1077" s="8"/>
      <c r="D1077" s="8"/>
      <c r="E1077" s="13" t="str">
        <f>IF(ISBLANK(D1077), "", VLOOKUP(D1077, Config!$F$6:$G$30, 2, FALSE()))</f>
        <v/>
      </c>
      <c r="F1077" s="16"/>
    </row>
    <row r="1078" ht="15.0" customHeight="1">
      <c r="A1078" s="12"/>
      <c r="B1078" s="13"/>
      <c r="C1078" s="8"/>
      <c r="D1078" s="8"/>
      <c r="E1078" s="13" t="str">
        <f>IF(ISBLANK(D1078), "", VLOOKUP(D1078, Config!$F$6:$G$30, 2, FALSE()))</f>
        <v/>
      </c>
      <c r="F1078" s="16"/>
    </row>
    <row r="1079" ht="15.0" customHeight="1">
      <c r="A1079" s="12"/>
      <c r="B1079" s="13"/>
      <c r="C1079" s="8"/>
      <c r="D1079" s="8"/>
      <c r="E1079" s="13" t="str">
        <f>IF(ISBLANK(D1079), "", VLOOKUP(D1079, Config!$F$6:$G$30, 2, FALSE()))</f>
        <v/>
      </c>
      <c r="F1079" s="16"/>
    </row>
    <row r="1080" ht="15.0" customHeight="1">
      <c r="A1080" s="12"/>
      <c r="B1080" s="13"/>
      <c r="C1080" s="8"/>
      <c r="D1080" s="8"/>
      <c r="E1080" s="13" t="str">
        <f>IF(ISBLANK(D1080), "", VLOOKUP(D1080, Config!$F$6:$G$30, 2, FALSE()))</f>
        <v/>
      </c>
      <c r="F1080" s="16"/>
    </row>
    <row r="1081" ht="15.0" customHeight="1">
      <c r="A1081" s="12"/>
      <c r="B1081" s="13"/>
      <c r="C1081" s="8"/>
      <c r="D1081" s="8"/>
      <c r="E1081" s="13" t="str">
        <f>IF(ISBLANK(D1081), "", VLOOKUP(D1081, Config!$F$6:$G$30, 2, FALSE()))</f>
        <v/>
      </c>
      <c r="F1081" s="16"/>
    </row>
    <row r="1082" ht="15.0" customHeight="1">
      <c r="A1082" s="12"/>
      <c r="B1082" s="13"/>
      <c r="C1082" s="8"/>
      <c r="D1082" s="8"/>
      <c r="E1082" s="13" t="str">
        <f>IF(ISBLANK(D1082), "", VLOOKUP(D1082, Config!$F$6:$G$30, 2, FALSE()))</f>
        <v/>
      </c>
      <c r="F1082" s="16"/>
    </row>
    <row r="1083" ht="15.0" customHeight="1">
      <c r="A1083" s="12"/>
      <c r="B1083" s="13"/>
      <c r="C1083" s="8"/>
      <c r="D1083" s="8"/>
      <c r="E1083" s="13" t="str">
        <f>IF(ISBLANK(D1083), "", VLOOKUP(D1083, Config!$F$6:$G$30, 2, FALSE()))</f>
        <v/>
      </c>
      <c r="F1083" s="16"/>
    </row>
    <row r="1084" ht="15.0" customHeight="1">
      <c r="A1084" s="12"/>
      <c r="B1084" s="13"/>
      <c r="C1084" s="8"/>
      <c r="D1084" s="8"/>
      <c r="E1084" s="13" t="str">
        <f>IF(ISBLANK(D1084), "", VLOOKUP(D1084, Config!$F$6:$G$30, 2, FALSE()))</f>
        <v/>
      </c>
      <c r="F1084" s="16"/>
    </row>
    <row r="1085" ht="15.0" customHeight="1">
      <c r="A1085" s="12"/>
      <c r="B1085" s="13"/>
      <c r="C1085" s="8"/>
      <c r="D1085" s="8"/>
      <c r="E1085" s="13" t="str">
        <f>IF(ISBLANK(D1085), "", VLOOKUP(D1085, Config!$F$6:$G$30, 2, FALSE()))</f>
        <v/>
      </c>
      <c r="F1085" s="16"/>
    </row>
    <row r="1086" ht="15.0" customHeight="1">
      <c r="A1086" s="12"/>
      <c r="B1086" s="13"/>
      <c r="C1086" s="8"/>
      <c r="D1086" s="8"/>
      <c r="E1086" s="13" t="str">
        <f>IF(ISBLANK(D1086), "", VLOOKUP(D1086, Config!$F$6:$G$30, 2, FALSE()))</f>
        <v/>
      </c>
      <c r="F1086" s="16"/>
    </row>
    <row r="1087" ht="15.0" customHeight="1">
      <c r="A1087" s="12"/>
      <c r="B1087" s="13"/>
      <c r="C1087" s="8"/>
      <c r="D1087" s="8"/>
      <c r="E1087" s="13" t="str">
        <f>IF(ISBLANK(D1087), "", VLOOKUP(D1087, Config!$F$6:$G$30, 2, FALSE()))</f>
        <v/>
      </c>
      <c r="F1087" s="16"/>
    </row>
    <row r="1088" ht="15.0" customHeight="1">
      <c r="A1088" s="12"/>
      <c r="B1088" s="13"/>
      <c r="C1088" s="8"/>
      <c r="D1088" s="8"/>
      <c r="E1088" s="13" t="str">
        <f>IF(ISBLANK(D1088), "", VLOOKUP(D1088, Config!$F$6:$G$30, 2, FALSE()))</f>
        <v/>
      </c>
      <c r="F1088" s="16"/>
    </row>
    <row r="1089" ht="15.0" customHeight="1">
      <c r="A1089" s="12"/>
      <c r="B1089" s="13"/>
      <c r="C1089" s="8"/>
      <c r="D1089" s="8"/>
      <c r="E1089" s="13" t="str">
        <f>IF(ISBLANK(D1089), "", VLOOKUP(D1089, Config!$F$6:$G$30, 2, FALSE()))</f>
        <v/>
      </c>
      <c r="F1089" s="16"/>
    </row>
    <row r="1090" ht="15.0" customHeight="1">
      <c r="A1090" s="12"/>
      <c r="B1090" s="13"/>
      <c r="C1090" s="8"/>
      <c r="D1090" s="8"/>
      <c r="E1090" s="13" t="str">
        <f>IF(ISBLANK(D1090), "", VLOOKUP(D1090, Config!$F$6:$G$30, 2, FALSE()))</f>
        <v/>
      </c>
      <c r="F1090" s="16"/>
    </row>
    <row r="1091" ht="15.0" customHeight="1">
      <c r="A1091" s="12"/>
      <c r="B1091" s="13"/>
      <c r="C1091" s="8"/>
      <c r="D1091" s="8"/>
      <c r="E1091" s="13" t="str">
        <f>IF(ISBLANK(D1091), "", VLOOKUP(D1091, Config!$F$6:$G$30, 2, FALSE()))</f>
        <v/>
      </c>
      <c r="F1091" s="16"/>
    </row>
    <row r="1092" ht="15.0" customHeight="1">
      <c r="A1092" s="12"/>
      <c r="B1092" s="13"/>
      <c r="C1092" s="8"/>
      <c r="D1092" s="8"/>
      <c r="E1092" s="13" t="str">
        <f>IF(ISBLANK(D1092), "", VLOOKUP(D1092, Config!$F$6:$G$30, 2, FALSE()))</f>
        <v/>
      </c>
      <c r="F1092" s="16"/>
    </row>
    <row r="1093" ht="15.0" customHeight="1">
      <c r="A1093" s="12"/>
      <c r="B1093" s="13"/>
      <c r="C1093" s="8"/>
      <c r="D1093" s="8"/>
      <c r="E1093" s="13" t="str">
        <f>IF(ISBLANK(D1093), "", VLOOKUP(D1093, Config!$F$6:$G$30, 2, FALSE()))</f>
        <v/>
      </c>
      <c r="F1093" s="16"/>
    </row>
    <row r="1094" ht="15.0" customHeight="1">
      <c r="A1094" s="12"/>
      <c r="B1094" s="13"/>
      <c r="C1094" s="8"/>
      <c r="D1094" s="8"/>
      <c r="E1094" s="13" t="str">
        <f>IF(ISBLANK(D1094), "", VLOOKUP(D1094, Config!$F$6:$G$30, 2, FALSE()))</f>
        <v/>
      </c>
      <c r="F1094" s="16"/>
    </row>
    <row r="1095" ht="15.0" customHeight="1">
      <c r="A1095" s="12"/>
      <c r="B1095" s="13"/>
      <c r="C1095" s="8"/>
      <c r="D1095" s="8"/>
      <c r="E1095" s="13" t="str">
        <f>IF(ISBLANK(D1095), "", VLOOKUP(D1095, Config!$F$6:$G$30, 2, FALSE()))</f>
        <v/>
      </c>
      <c r="F1095" s="16"/>
    </row>
    <row r="1096" ht="15.0" customHeight="1">
      <c r="A1096" s="12"/>
      <c r="B1096" s="13"/>
      <c r="C1096" s="8"/>
      <c r="D1096" s="8"/>
      <c r="E1096" s="13" t="str">
        <f>IF(ISBLANK(D1096), "", VLOOKUP(D1096, Config!$F$6:$G$30, 2, FALSE()))</f>
        <v/>
      </c>
      <c r="F1096" s="16"/>
    </row>
    <row r="1097" ht="15.0" customHeight="1">
      <c r="A1097" s="12"/>
      <c r="B1097" s="13"/>
      <c r="C1097" s="8"/>
      <c r="D1097" s="8"/>
      <c r="E1097" s="13" t="str">
        <f>IF(ISBLANK(D1097), "", VLOOKUP(D1097, Config!$F$6:$G$30, 2, FALSE()))</f>
        <v/>
      </c>
      <c r="F1097" s="16"/>
    </row>
    <row r="1098" ht="15.0" customHeight="1">
      <c r="A1098" s="12"/>
      <c r="B1098" s="13"/>
      <c r="C1098" s="8"/>
      <c r="D1098" s="8"/>
      <c r="E1098" s="13" t="str">
        <f>IF(ISBLANK(D1098), "", VLOOKUP(D1098, Config!$F$6:$G$30, 2, FALSE()))</f>
        <v/>
      </c>
      <c r="F1098" s="16"/>
    </row>
    <row r="1099" ht="15.0" customHeight="1">
      <c r="A1099" s="12"/>
      <c r="B1099" s="13"/>
      <c r="C1099" s="8"/>
      <c r="D1099" s="8"/>
      <c r="E1099" s="13" t="str">
        <f>IF(ISBLANK(D1099), "", VLOOKUP(D1099, Config!$F$6:$G$30, 2, FALSE()))</f>
        <v/>
      </c>
      <c r="F1099" s="16"/>
    </row>
    <row r="1100" ht="15.0" customHeight="1">
      <c r="A1100" s="12"/>
      <c r="B1100" s="13"/>
      <c r="C1100" s="8"/>
      <c r="D1100" s="8"/>
      <c r="E1100" s="13" t="str">
        <f>IF(ISBLANK(D1100), "", VLOOKUP(D1100, Config!$F$6:$G$30, 2, FALSE()))</f>
        <v/>
      </c>
      <c r="F1100" s="16"/>
    </row>
    <row r="1101" ht="15.0" customHeight="1">
      <c r="A1101" s="12"/>
      <c r="B1101" s="13"/>
      <c r="C1101" s="8"/>
      <c r="D1101" s="8"/>
      <c r="E1101" s="13" t="str">
        <f>IF(ISBLANK(D1101), "", VLOOKUP(D1101, Config!$F$6:$G$30, 2, FALSE()))</f>
        <v/>
      </c>
      <c r="F1101" s="16"/>
    </row>
    <row r="1102" ht="15.0" customHeight="1">
      <c r="A1102" s="12"/>
      <c r="B1102" s="13"/>
      <c r="C1102" s="8"/>
      <c r="D1102" s="8"/>
      <c r="E1102" s="13" t="str">
        <f>IF(ISBLANK(D1102), "", VLOOKUP(D1102, Config!$F$6:$G$30, 2, FALSE()))</f>
        <v/>
      </c>
      <c r="F1102" s="16"/>
    </row>
    <row r="1103" ht="15.0" customHeight="1">
      <c r="A1103" s="12"/>
      <c r="B1103" s="13"/>
      <c r="C1103" s="8"/>
      <c r="D1103" s="8"/>
      <c r="E1103" s="13" t="str">
        <f>IF(ISBLANK(D1103), "", VLOOKUP(D1103, Config!$F$6:$G$30, 2, FALSE()))</f>
        <v/>
      </c>
      <c r="F1103" s="16"/>
    </row>
    <row r="1104" ht="15.0" customHeight="1">
      <c r="A1104" s="12"/>
      <c r="B1104" s="13"/>
      <c r="C1104" s="8"/>
      <c r="D1104" s="8"/>
      <c r="E1104" s="13" t="str">
        <f>IF(ISBLANK(D1104), "", VLOOKUP(D1104, Config!$F$6:$G$30, 2, FALSE()))</f>
        <v/>
      </c>
      <c r="F1104" s="16"/>
    </row>
    <row r="1105" ht="15.0" customHeight="1">
      <c r="A1105" s="12"/>
      <c r="B1105" s="13"/>
      <c r="C1105" s="8"/>
      <c r="D1105" s="8"/>
      <c r="E1105" s="13" t="str">
        <f>IF(ISBLANK(D1105), "", VLOOKUP(D1105, Config!$F$6:$G$30, 2, FALSE()))</f>
        <v/>
      </c>
      <c r="F1105" s="16"/>
    </row>
    <row r="1106" ht="15.0" customHeight="1">
      <c r="A1106" s="12"/>
      <c r="B1106" s="13"/>
      <c r="C1106" s="8"/>
      <c r="D1106" s="8"/>
      <c r="E1106" s="13" t="str">
        <f>IF(ISBLANK(D1106), "", VLOOKUP(D1106, Config!$F$6:$G$30, 2, FALSE()))</f>
        <v/>
      </c>
      <c r="F1106" s="16"/>
    </row>
    <row r="1107" ht="15.0" customHeight="1">
      <c r="A1107" s="12"/>
      <c r="B1107" s="13"/>
      <c r="C1107" s="8"/>
      <c r="D1107" s="8"/>
      <c r="E1107" s="13" t="str">
        <f>IF(ISBLANK(D1107), "", VLOOKUP(D1107, Config!$F$6:$G$30, 2, FALSE()))</f>
        <v/>
      </c>
      <c r="F1107" s="16"/>
    </row>
    <row r="1108" ht="15.0" customHeight="1">
      <c r="A1108" s="12"/>
      <c r="B1108" s="13"/>
      <c r="C1108" s="8"/>
      <c r="D1108" s="8"/>
      <c r="E1108" s="13" t="str">
        <f>IF(ISBLANK(D1108), "", VLOOKUP(D1108, Config!$F$6:$G$30, 2, FALSE()))</f>
        <v/>
      </c>
      <c r="F1108" s="16"/>
    </row>
    <row r="1109" ht="15.0" customHeight="1">
      <c r="A1109" s="12"/>
      <c r="B1109" s="13"/>
      <c r="C1109" s="8"/>
      <c r="D1109" s="8"/>
      <c r="E1109" s="13" t="str">
        <f>IF(ISBLANK(D1109), "", VLOOKUP(D1109, Config!$F$6:$G$30, 2, FALSE()))</f>
        <v/>
      </c>
      <c r="F1109" s="16"/>
    </row>
    <row r="1110" ht="15.0" customHeight="1">
      <c r="A1110" s="12"/>
      <c r="B1110" s="13"/>
      <c r="C1110" s="8"/>
      <c r="D1110" s="8"/>
      <c r="E1110" s="13" t="str">
        <f>IF(ISBLANK(D1110), "", VLOOKUP(D1110, Config!$F$6:$G$30, 2, FALSE()))</f>
        <v/>
      </c>
      <c r="F1110" s="16"/>
    </row>
    <row r="1111" ht="15.0" customHeight="1">
      <c r="A1111" s="12"/>
      <c r="B1111" s="13"/>
      <c r="C1111" s="8"/>
      <c r="D1111" s="8"/>
      <c r="E1111" s="13" t="str">
        <f>IF(ISBLANK(D1111), "", VLOOKUP(D1111, Config!$F$6:$G$30, 2, FALSE()))</f>
        <v/>
      </c>
      <c r="F1111" s="16"/>
    </row>
    <row r="1112" ht="15.0" customHeight="1">
      <c r="A1112" s="12"/>
      <c r="B1112" s="13"/>
      <c r="C1112" s="8"/>
      <c r="D1112" s="8"/>
      <c r="E1112" s="13" t="str">
        <f>IF(ISBLANK(D1112), "", VLOOKUP(D1112, Config!$F$6:$G$30, 2, FALSE()))</f>
        <v/>
      </c>
      <c r="F1112" s="16"/>
    </row>
    <row r="1113" ht="15.0" customHeight="1">
      <c r="A1113" s="12"/>
      <c r="B1113" s="13"/>
      <c r="C1113" s="8"/>
      <c r="D1113" s="8"/>
      <c r="E1113" s="13" t="str">
        <f>IF(ISBLANK(D1113), "", VLOOKUP(D1113, Config!$F$6:$G$30, 2, FALSE()))</f>
        <v/>
      </c>
      <c r="F1113" s="16"/>
    </row>
    <row r="1114" ht="15.0" customHeight="1">
      <c r="A1114" s="12"/>
      <c r="B1114" s="13"/>
      <c r="C1114" s="8"/>
      <c r="D1114" s="8"/>
      <c r="E1114" s="13" t="str">
        <f>IF(ISBLANK(D1114), "", VLOOKUP(D1114, Config!$F$6:$G$30, 2, FALSE()))</f>
        <v/>
      </c>
      <c r="F1114" s="16"/>
    </row>
    <row r="1115" ht="15.0" customHeight="1">
      <c r="A1115" s="12"/>
      <c r="B1115" s="13"/>
      <c r="C1115" s="8"/>
      <c r="D1115" s="8"/>
      <c r="E1115" s="13" t="str">
        <f>IF(ISBLANK(D1115), "", VLOOKUP(D1115, Config!$F$6:$G$30, 2, FALSE()))</f>
        <v/>
      </c>
      <c r="F1115" s="16"/>
    </row>
    <row r="1116" ht="15.0" customHeight="1">
      <c r="A1116" s="12"/>
      <c r="B1116" s="13"/>
      <c r="C1116" s="8"/>
      <c r="D1116" s="8"/>
      <c r="E1116" s="13" t="str">
        <f>IF(ISBLANK(D1116), "", VLOOKUP(D1116, Config!$F$6:$G$30, 2, FALSE()))</f>
        <v/>
      </c>
      <c r="F1116" s="16"/>
    </row>
    <row r="1117" ht="15.0" customHeight="1">
      <c r="A1117" s="12"/>
      <c r="B1117" s="13"/>
      <c r="C1117" s="8"/>
      <c r="D1117" s="8"/>
      <c r="E1117" s="13" t="str">
        <f>IF(ISBLANK(D1117), "", VLOOKUP(D1117, Config!$F$6:$G$30, 2, FALSE()))</f>
        <v/>
      </c>
      <c r="F1117" s="16"/>
    </row>
    <row r="1118" ht="15.0" customHeight="1">
      <c r="A1118" s="12"/>
      <c r="B1118" s="13"/>
      <c r="C1118" s="8"/>
      <c r="D1118" s="8"/>
      <c r="E1118" s="13" t="str">
        <f>IF(ISBLANK(D1118), "", VLOOKUP(D1118, Config!$F$6:$G$30, 2, FALSE()))</f>
        <v/>
      </c>
      <c r="F1118" s="16"/>
    </row>
    <row r="1119" ht="15.0" customHeight="1">
      <c r="A1119" s="12"/>
      <c r="B1119" s="13"/>
      <c r="C1119" s="8"/>
      <c r="D1119" s="8"/>
      <c r="E1119" s="13" t="str">
        <f>IF(ISBLANK(D1119), "", VLOOKUP(D1119, Config!$F$6:$G$30, 2, FALSE()))</f>
        <v/>
      </c>
      <c r="F1119" s="16"/>
    </row>
    <row r="1120" ht="15.0" customHeight="1">
      <c r="A1120" s="12"/>
      <c r="B1120" s="13"/>
      <c r="C1120" s="8"/>
      <c r="D1120" s="8"/>
      <c r="E1120" s="13" t="str">
        <f>IF(ISBLANK(D1120), "", VLOOKUP(D1120, Config!$F$6:$G$30, 2, FALSE()))</f>
        <v/>
      </c>
      <c r="F1120" s="16"/>
    </row>
    <row r="1121" ht="15.0" customHeight="1">
      <c r="A1121" s="12"/>
      <c r="B1121" s="13"/>
      <c r="C1121" s="8"/>
      <c r="D1121" s="8"/>
      <c r="E1121" s="13" t="str">
        <f>IF(ISBLANK(D1121), "", VLOOKUP(D1121, Config!$F$6:$G$30, 2, FALSE()))</f>
        <v/>
      </c>
      <c r="F1121" s="16"/>
    </row>
    <row r="1122" ht="15.0" customHeight="1">
      <c r="A1122" s="12"/>
      <c r="B1122" s="13"/>
      <c r="C1122" s="8"/>
      <c r="D1122" s="8"/>
      <c r="E1122" s="13" t="str">
        <f>IF(ISBLANK(D1122), "", VLOOKUP(D1122, Config!$F$6:$G$30, 2, FALSE()))</f>
        <v/>
      </c>
      <c r="F1122" s="16"/>
    </row>
    <row r="1123" ht="15.0" customHeight="1">
      <c r="A1123" s="12"/>
      <c r="B1123" s="13"/>
      <c r="C1123" s="8"/>
      <c r="D1123" s="8"/>
      <c r="E1123" s="13" t="str">
        <f>IF(ISBLANK(D1123), "", VLOOKUP(D1123, Config!$F$6:$G$30, 2, FALSE()))</f>
        <v/>
      </c>
      <c r="F1123" s="16"/>
    </row>
    <row r="1124" ht="15.0" customHeight="1">
      <c r="A1124" s="12"/>
      <c r="B1124" s="13"/>
      <c r="C1124" s="8"/>
      <c r="D1124" s="8"/>
      <c r="E1124" s="13" t="str">
        <f>IF(ISBLANK(D1124), "", VLOOKUP(D1124, Config!$F$6:$G$30, 2, FALSE()))</f>
        <v/>
      </c>
      <c r="F1124" s="16"/>
    </row>
    <row r="1125" ht="15.0" customHeight="1">
      <c r="A1125" s="12"/>
      <c r="B1125" s="13"/>
      <c r="C1125" s="8"/>
      <c r="D1125" s="8"/>
      <c r="E1125" s="13" t="str">
        <f>IF(ISBLANK(D1125), "", VLOOKUP(D1125, Config!$F$6:$G$30, 2, FALSE()))</f>
        <v/>
      </c>
      <c r="F1125" s="16"/>
    </row>
    <row r="1126" ht="15.0" customHeight="1">
      <c r="A1126" s="12"/>
      <c r="B1126" s="13"/>
      <c r="C1126" s="8"/>
      <c r="D1126" s="8"/>
      <c r="E1126" s="13" t="str">
        <f>IF(ISBLANK(D1126), "", VLOOKUP(D1126, Config!$F$6:$G$30, 2, FALSE()))</f>
        <v/>
      </c>
      <c r="F1126" s="16"/>
    </row>
    <row r="1127" ht="15.0" customHeight="1">
      <c r="A1127" s="12"/>
      <c r="B1127" s="13"/>
      <c r="C1127" s="8"/>
      <c r="D1127" s="8"/>
      <c r="E1127" s="13" t="str">
        <f>IF(ISBLANK(D1127), "", VLOOKUP(D1127, Config!$F$6:$G$30, 2, FALSE()))</f>
        <v/>
      </c>
      <c r="F1127" s="16"/>
    </row>
    <row r="1128" ht="15.0" customHeight="1">
      <c r="A1128" s="12"/>
      <c r="B1128" s="13"/>
      <c r="C1128" s="8"/>
      <c r="D1128" s="8"/>
      <c r="E1128" s="13" t="str">
        <f>IF(ISBLANK(D1128), "", VLOOKUP(D1128, Config!$F$6:$G$30, 2, FALSE()))</f>
        <v/>
      </c>
      <c r="F1128" s="16"/>
    </row>
    <row r="1129" ht="15.0" customHeight="1">
      <c r="A1129" s="12"/>
      <c r="B1129" s="13"/>
      <c r="C1129" s="8"/>
      <c r="D1129" s="8"/>
      <c r="E1129" s="13" t="str">
        <f>IF(ISBLANK(D1129), "", VLOOKUP(D1129, Config!$F$6:$G$30, 2, FALSE()))</f>
        <v/>
      </c>
      <c r="F1129" s="16"/>
    </row>
    <row r="1130" ht="15.0" customHeight="1">
      <c r="A1130" s="12"/>
      <c r="B1130" s="13"/>
      <c r="C1130" s="8"/>
      <c r="D1130" s="8"/>
      <c r="E1130" s="13" t="str">
        <f>IF(ISBLANK(D1130), "", VLOOKUP(D1130, Config!$F$6:$G$30, 2, FALSE()))</f>
        <v/>
      </c>
      <c r="F1130" s="16"/>
    </row>
    <row r="1131" ht="15.0" customHeight="1">
      <c r="A1131" s="12"/>
      <c r="B1131" s="13"/>
      <c r="C1131" s="8"/>
      <c r="D1131" s="8"/>
      <c r="E1131" s="13" t="str">
        <f>IF(ISBLANK(D1131), "", VLOOKUP(D1131, Config!$F$6:$G$30, 2, FALSE()))</f>
        <v/>
      </c>
      <c r="F1131" s="16"/>
    </row>
    <row r="1132" ht="15.0" customHeight="1">
      <c r="A1132" s="12"/>
      <c r="B1132" s="13"/>
      <c r="C1132" s="8"/>
      <c r="D1132" s="8"/>
      <c r="E1132" s="13" t="str">
        <f>IF(ISBLANK(D1132), "", VLOOKUP(D1132, Config!$F$6:$G$30, 2, FALSE()))</f>
        <v/>
      </c>
      <c r="F1132" s="16"/>
    </row>
    <row r="1133" ht="15.0" customHeight="1">
      <c r="A1133" s="12"/>
      <c r="B1133" s="13"/>
      <c r="C1133" s="8"/>
      <c r="D1133" s="8"/>
      <c r="E1133" s="13" t="str">
        <f>IF(ISBLANK(D1133), "", VLOOKUP(D1133, Config!$F$6:$G$30, 2, FALSE()))</f>
        <v/>
      </c>
      <c r="F1133" s="16"/>
    </row>
    <row r="1134" ht="15.0" customHeight="1">
      <c r="A1134" s="12"/>
      <c r="B1134" s="13"/>
      <c r="C1134" s="8"/>
      <c r="D1134" s="8"/>
      <c r="E1134" s="13" t="str">
        <f>IF(ISBLANK(D1134), "", VLOOKUP(D1134, Config!$F$6:$G$30, 2, FALSE()))</f>
        <v/>
      </c>
      <c r="F1134" s="16"/>
    </row>
    <row r="1135" ht="15.0" customHeight="1">
      <c r="A1135" s="12"/>
      <c r="B1135" s="13"/>
      <c r="C1135" s="8"/>
      <c r="D1135" s="8"/>
      <c r="E1135" s="13" t="str">
        <f>IF(ISBLANK(D1135), "", VLOOKUP(D1135, Config!$F$6:$G$30, 2, FALSE()))</f>
        <v/>
      </c>
      <c r="F1135" s="16"/>
    </row>
    <row r="1136" ht="15.0" customHeight="1">
      <c r="A1136" s="12"/>
      <c r="B1136" s="13"/>
      <c r="C1136" s="8"/>
      <c r="D1136" s="8"/>
      <c r="E1136" s="13" t="str">
        <f>IF(ISBLANK(D1136), "", VLOOKUP(D1136, Config!$F$6:$G$30, 2, FALSE()))</f>
        <v/>
      </c>
      <c r="F1136" s="16"/>
    </row>
    <row r="1137" ht="15.0" customHeight="1">
      <c r="A1137" s="12"/>
      <c r="B1137" s="13"/>
      <c r="C1137" s="8"/>
      <c r="D1137" s="8"/>
      <c r="E1137" s="13" t="str">
        <f>IF(ISBLANK(D1137), "", VLOOKUP(D1137, Config!$F$6:$G$30, 2, FALSE()))</f>
        <v/>
      </c>
      <c r="F1137" s="16"/>
    </row>
    <row r="1138" ht="15.0" customHeight="1">
      <c r="A1138" s="12"/>
      <c r="B1138" s="13"/>
      <c r="C1138" s="8"/>
      <c r="D1138" s="8"/>
      <c r="E1138" s="13" t="str">
        <f>IF(ISBLANK(D1138), "", VLOOKUP(D1138, Config!$F$6:$G$30, 2, FALSE()))</f>
        <v/>
      </c>
      <c r="F1138" s="16"/>
    </row>
    <row r="1139" ht="15.0" customHeight="1">
      <c r="A1139" s="12"/>
      <c r="B1139" s="13"/>
      <c r="C1139" s="8"/>
      <c r="D1139" s="8"/>
      <c r="E1139" s="13" t="str">
        <f>IF(ISBLANK(D1139), "", VLOOKUP(D1139, Config!$F$6:$G$30, 2, FALSE()))</f>
        <v/>
      </c>
      <c r="F1139" s="16"/>
    </row>
    <row r="1140" ht="15.0" customHeight="1">
      <c r="A1140" s="12"/>
      <c r="B1140" s="13"/>
      <c r="C1140" s="8"/>
      <c r="D1140" s="8"/>
      <c r="E1140" s="13" t="str">
        <f>IF(ISBLANK(D1140), "", VLOOKUP(D1140, Config!$F$6:$G$30, 2, FALSE()))</f>
        <v/>
      </c>
      <c r="F1140" s="16"/>
    </row>
    <row r="1141" ht="15.0" customHeight="1">
      <c r="A1141" s="12"/>
      <c r="B1141" s="13"/>
      <c r="C1141" s="8"/>
      <c r="D1141" s="8"/>
      <c r="E1141" s="13" t="str">
        <f>IF(ISBLANK(D1141), "", VLOOKUP(D1141, Config!$F$6:$G$30, 2, FALSE()))</f>
        <v/>
      </c>
      <c r="F1141" s="16"/>
    </row>
    <row r="1142" ht="15.0" customHeight="1">
      <c r="A1142" s="12"/>
      <c r="B1142" s="13"/>
      <c r="C1142" s="8"/>
      <c r="D1142" s="8"/>
      <c r="E1142" s="13" t="str">
        <f>IF(ISBLANK(D1142), "", VLOOKUP(D1142, Config!$F$6:$G$30, 2, FALSE()))</f>
        <v/>
      </c>
      <c r="F1142" s="16"/>
    </row>
    <row r="1143" ht="15.0" customHeight="1">
      <c r="A1143" s="12"/>
      <c r="B1143" s="13"/>
      <c r="C1143" s="8"/>
      <c r="D1143" s="8"/>
      <c r="E1143" s="13" t="str">
        <f>IF(ISBLANK(D1143), "", VLOOKUP(D1143, Config!$F$6:$G$30, 2, FALSE()))</f>
        <v/>
      </c>
      <c r="F1143" s="16"/>
    </row>
    <row r="1144" ht="15.0" customHeight="1">
      <c r="A1144" s="12"/>
      <c r="B1144" s="13"/>
      <c r="C1144" s="8"/>
      <c r="D1144" s="8"/>
      <c r="E1144" s="13" t="str">
        <f>IF(ISBLANK(D1144), "", VLOOKUP(D1144, Config!$F$6:$G$30, 2, FALSE()))</f>
        <v/>
      </c>
      <c r="F1144" s="16"/>
    </row>
    <row r="1145" ht="15.0" customHeight="1">
      <c r="A1145" s="12"/>
      <c r="B1145" s="13"/>
      <c r="C1145" s="8"/>
      <c r="D1145" s="8"/>
      <c r="E1145" s="13" t="str">
        <f>IF(ISBLANK(D1145), "", VLOOKUP(D1145, Config!$F$6:$G$30, 2, FALSE()))</f>
        <v/>
      </c>
      <c r="F1145" s="16"/>
    </row>
    <row r="1146" ht="15.0" customHeight="1">
      <c r="A1146" s="12"/>
      <c r="B1146" s="13"/>
      <c r="C1146" s="8"/>
      <c r="D1146" s="8"/>
      <c r="E1146" s="13" t="str">
        <f>IF(ISBLANK(D1146), "", VLOOKUP(D1146, Config!$F$6:$G$30, 2, FALSE()))</f>
        <v/>
      </c>
      <c r="F1146" s="16"/>
    </row>
    <row r="1147" ht="15.0" customHeight="1">
      <c r="A1147" s="12"/>
      <c r="B1147" s="13"/>
      <c r="C1147" s="8"/>
      <c r="D1147" s="8"/>
      <c r="E1147" s="13" t="str">
        <f>IF(ISBLANK(D1147), "", VLOOKUP(D1147, Config!$F$6:$G$30, 2, FALSE()))</f>
        <v/>
      </c>
      <c r="F1147" s="16"/>
    </row>
    <row r="1148" ht="15.0" customHeight="1">
      <c r="A1148" s="12"/>
      <c r="B1148" s="13"/>
      <c r="C1148" s="8"/>
      <c r="D1148" s="8"/>
      <c r="E1148" s="13" t="str">
        <f>IF(ISBLANK(D1148), "", VLOOKUP(D1148, Config!$F$6:$G$30, 2, FALSE()))</f>
        <v/>
      </c>
      <c r="F1148" s="16"/>
    </row>
    <row r="1149" ht="15.0" customHeight="1">
      <c r="A1149" s="12"/>
      <c r="B1149" s="13"/>
      <c r="C1149" s="8"/>
      <c r="D1149" s="8"/>
      <c r="E1149" s="13" t="str">
        <f>IF(ISBLANK(D1149), "", VLOOKUP(D1149, Config!$F$6:$G$30, 2, FALSE()))</f>
        <v/>
      </c>
      <c r="F1149" s="16"/>
    </row>
    <row r="1150" ht="15.0" customHeight="1">
      <c r="A1150" s="12"/>
      <c r="B1150" s="13"/>
      <c r="C1150" s="8"/>
      <c r="D1150" s="8"/>
      <c r="E1150" s="13" t="str">
        <f>IF(ISBLANK(D1150), "", VLOOKUP(D1150, Config!$F$6:$G$30, 2, FALSE()))</f>
        <v/>
      </c>
      <c r="F1150" s="16"/>
    </row>
    <row r="1151" ht="15.0" customHeight="1">
      <c r="A1151" s="12"/>
      <c r="B1151" s="13"/>
      <c r="C1151" s="8"/>
      <c r="D1151" s="8"/>
      <c r="E1151" s="13" t="str">
        <f>IF(ISBLANK(D1151), "", VLOOKUP(D1151, Config!$F$6:$G$30, 2, FALSE()))</f>
        <v/>
      </c>
      <c r="F1151" s="16"/>
    </row>
    <row r="1152" ht="15.0" customHeight="1">
      <c r="A1152" s="12"/>
      <c r="B1152" s="13"/>
      <c r="C1152" s="8"/>
      <c r="D1152" s="8"/>
      <c r="E1152" s="13" t="str">
        <f>IF(ISBLANK(D1152), "", VLOOKUP(D1152, Config!$F$6:$G$30, 2, FALSE()))</f>
        <v/>
      </c>
      <c r="F1152" s="16"/>
    </row>
    <row r="1153" ht="15.0" customHeight="1">
      <c r="A1153" s="12"/>
      <c r="B1153" s="13"/>
      <c r="C1153" s="8"/>
      <c r="D1153" s="8"/>
      <c r="E1153" s="13" t="str">
        <f>IF(ISBLANK(D1153), "", VLOOKUP(D1153, Config!$F$6:$G$30, 2, FALSE()))</f>
        <v/>
      </c>
      <c r="F1153" s="16"/>
    </row>
    <row r="1154" ht="15.0" customHeight="1">
      <c r="A1154" s="12"/>
      <c r="B1154" s="13"/>
      <c r="C1154" s="8"/>
      <c r="D1154" s="8"/>
      <c r="E1154" s="13" t="str">
        <f>IF(ISBLANK(D1154), "", VLOOKUP(D1154, Config!$F$6:$G$30, 2, FALSE()))</f>
        <v/>
      </c>
      <c r="F1154" s="16"/>
    </row>
    <row r="1155" ht="15.0" customHeight="1">
      <c r="A1155" s="12"/>
      <c r="B1155" s="13"/>
      <c r="C1155" s="8"/>
      <c r="D1155" s="8"/>
      <c r="E1155" s="13" t="str">
        <f>IF(ISBLANK(D1155), "", VLOOKUP(D1155, Config!$F$6:$G$30, 2, FALSE()))</f>
        <v/>
      </c>
      <c r="F1155" s="16"/>
    </row>
    <row r="1156" ht="15.0" customHeight="1">
      <c r="A1156" s="12"/>
      <c r="B1156" s="13"/>
      <c r="C1156" s="8"/>
      <c r="D1156" s="8"/>
      <c r="E1156" s="13" t="str">
        <f>IF(ISBLANK(D1156), "", VLOOKUP(D1156, Config!$F$6:$G$30, 2, FALSE()))</f>
        <v/>
      </c>
      <c r="F1156" s="16"/>
    </row>
    <row r="1157" ht="15.0" customHeight="1">
      <c r="A1157" s="12"/>
      <c r="B1157" s="13"/>
      <c r="C1157" s="8"/>
      <c r="D1157" s="8"/>
      <c r="E1157" s="13" t="str">
        <f>IF(ISBLANK(D1157), "", VLOOKUP(D1157, Config!$F$6:$G$30, 2, FALSE()))</f>
        <v/>
      </c>
      <c r="F1157" s="16"/>
    </row>
    <row r="1158" ht="15.0" customHeight="1">
      <c r="A1158" s="12"/>
      <c r="B1158" s="13"/>
      <c r="C1158" s="8"/>
      <c r="D1158" s="8"/>
      <c r="E1158" s="13" t="str">
        <f>IF(ISBLANK(D1158), "", VLOOKUP(D1158, Config!$F$6:$G$30, 2, FALSE()))</f>
        <v/>
      </c>
      <c r="F1158" s="16"/>
    </row>
    <row r="1159" ht="15.0" customHeight="1">
      <c r="A1159" s="12"/>
      <c r="B1159" s="13"/>
      <c r="C1159" s="8"/>
      <c r="D1159" s="8"/>
      <c r="E1159" s="13" t="str">
        <f>IF(ISBLANK(D1159), "", VLOOKUP(D1159, Config!$F$6:$G$30, 2, FALSE()))</f>
        <v/>
      </c>
      <c r="F1159" s="16"/>
    </row>
    <row r="1160" ht="15.0" customHeight="1">
      <c r="A1160" s="12"/>
      <c r="B1160" s="13"/>
      <c r="C1160" s="8"/>
      <c r="D1160" s="8"/>
      <c r="E1160" s="13" t="str">
        <f>IF(ISBLANK(D1160), "", VLOOKUP(D1160, Config!$F$6:$G$30, 2, FALSE()))</f>
        <v/>
      </c>
      <c r="F1160" s="16"/>
    </row>
    <row r="1161" ht="15.0" customHeight="1">
      <c r="A1161" s="12"/>
      <c r="B1161" s="13"/>
      <c r="C1161" s="8"/>
      <c r="D1161" s="8"/>
      <c r="E1161" s="13" t="str">
        <f>IF(ISBLANK(D1161), "", VLOOKUP(D1161, Config!$F$6:$G$30, 2, FALSE()))</f>
        <v/>
      </c>
      <c r="F1161" s="16"/>
    </row>
    <row r="1162" ht="15.0" customHeight="1">
      <c r="A1162" s="12"/>
      <c r="B1162" s="13"/>
      <c r="C1162" s="8"/>
      <c r="D1162" s="8"/>
      <c r="E1162" s="13" t="str">
        <f>IF(ISBLANK(D1162), "", VLOOKUP(D1162, Config!$F$6:$G$30, 2, FALSE()))</f>
        <v/>
      </c>
      <c r="F1162" s="16"/>
    </row>
    <row r="1163" ht="15.0" customHeight="1">
      <c r="A1163" s="12"/>
      <c r="B1163" s="13"/>
      <c r="C1163" s="8"/>
      <c r="D1163" s="8"/>
      <c r="E1163" s="13" t="str">
        <f>IF(ISBLANK(D1163), "", VLOOKUP(D1163, Config!$F$6:$G$30, 2, FALSE()))</f>
        <v/>
      </c>
      <c r="F1163" s="16"/>
    </row>
    <row r="1164" ht="15.0" customHeight="1">
      <c r="A1164" s="12"/>
      <c r="B1164" s="13"/>
      <c r="C1164" s="8"/>
      <c r="D1164" s="8"/>
      <c r="E1164" s="13" t="str">
        <f>IF(ISBLANK(D1164), "", VLOOKUP(D1164, Config!$F$6:$G$30, 2, FALSE()))</f>
        <v/>
      </c>
      <c r="F1164" s="16"/>
    </row>
    <row r="1165" ht="15.0" customHeight="1">
      <c r="A1165" s="12"/>
      <c r="B1165" s="13"/>
      <c r="C1165" s="8"/>
      <c r="D1165" s="8"/>
      <c r="E1165" s="13" t="str">
        <f>IF(ISBLANK(D1165), "", VLOOKUP(D1165, Config!$F$6:$G$30, 2, FALSE()))</f>
        <v/>
      </c>
      <c r="F1165" s="16"/>
    </row>
    <row r="1166" ht="15.0" customHeight="1">
      <c r="A1166" s="12"/>
      <c r="B1166" s="13"/>
      <c r="C1166" s="8"/>
      <c r="D1166" s="8"/>
      <c r="E1166" s="13" t="str">
        <f>IF(ISBLANK(D1166), "", VLOOKUP(D1166, Config!$F$6:$G$30, 2, FALSE()))</f>
        <v/>
      </c>
      <c r="F1166" s="16"/>
    </row>
    <row r="1167" ht="15.0" customHeight="1">
      <c r="A1167" s="12"/>
      <c r="B1167" s="13"/>
      <c r="C1167" s="8"/>
      <c r="D1167" s="8"/>
      <c r="E1167" s="13" t="str">
        <f>IF(ISBLANK(D1167), "", VLOOKUP(D1167, Config!$F$6:$G$30, 2, FALSE()))</f>
        <v/>
      </c>
      <c r="F1167" s="16"/>
    </row>
    <row r="1168" ht="15.0" customHeight="1">
      <c r="A1168" s="12"/>
      <c r="B1168" s="13"/>
      <c r="C1168" s="8"/>
      <c r="D1168" s="8"/>
      <c r="E1168" s="13" t="str">
        <f>IF(ISBLANK(D1168), "", VLOOKUP(D1168, Config!$F$6:$G$30, 2, FALSE()))</f>
        <v/>
      </c>
      <c r="F1168" s="16"/>
    </row>
    <row r="1169" ht="15.0" customHeight="1">
      <c r="A1169" s="12"/>
      <c r="B1169" s="13"/>
      <c r="C1169" s="8"/>
      <c r="D1169" s="8"/>
      <c r="E1169" s="13" t="str">
        <f>IF(ISBLANK(D1169), "", VLOOKUP(D1169, Config!$F$6:$G$30, 2, FALSE()))</f>
        <v/>
      </c>
      <c r="F1169" s="16"/>
    </row>
    <row r="1170" ht="15.0" customHeight="1">
      <c r="A1170" s="12"/>
      <c r="B1170" s="13"/>
      <c r="C1170" s="8"/>
      <c r="D1170" s="8"/>
      <c r="E1170" s="13" t="str">
        <f>IF(ISBLANK(D1170), "", VLOOKUP(D1170, Config!$F$6:$G$30, 2, FALSE()))</f>
        <v/>
      </c>
      <c r="F1170" s="16"/>
    </row>
    <row r="1171" ht="15.0" customHeight="1">
      <c r="A1171" s="12"/>
      <c r="B1171" s="13"/>
      <c r="C1171" s="8"/>
      <c r="D1171" s="8"/>
      <c r="E1171" s="13" t="str">
        <f>IF(ISBLANK(D1171), "", VLOOKUP(D1171, Config!$F$6:$G$30, 2, FALSE()))</f>
        <v/>
      </c>
      <c r="F1171" s="16"/>
    </row>
    <row r="1172" ht="15.0" customHeight="1">
      <c r="A1172" s="12"/>
      <c r="B1172" s="13"/>
      <c r="C1172" s="8"/>
      <c r="D1172" s="8"/>
      <c r="E1172" s="13" t="str">
        <f>IF(ISBLANK(D1172), "", VLOOKUP(D1172, Config!$F$6:$G$30, 2, FALSE()))</f>
        <v/>
      </c>
      <c r="F1172" s="16"/>
    </row>
    <row r="1173" ht="15.0" customHeight="1">
      <c r="A1173" s="12"/>
      <c r="B1173" s="13"/>
      <c r="C1173" s="8"/>
      <c r="D1173" s="8"/>
      <c r="E1173" s="13" t="str">
        <f>IF(ISBLANK(D1173), "", VLOOKUP(D1173, Config!$F$6:$G$30, 2, FALSE()))</f>
        <v/>
      </c>
      <c r="F1173" s="16"/>
    </row>
    <row r="1174" ht="15.0" customHeight="1">
      <c r="A1174" s="12"/>
      <c r="B1174" s="13"/>
      <c r="C1174" s="8"/>
      <c r="D1174" s="8"/>
      <c r="E1174" s="13" t="str">
        <f>IF(ISBLANK(D1174), "", VLOOKUP(D1174, Config!$F$6:$G$30, 2, FALSE()))</f>
        <v/>
      </c>
      <c r="F1174" s="16"/>
    </row>
    <row r="1175" ht="15.0" customHeight="1">
      <c r="A1175" s="12"/>
      <c r="B1175" s="13"/>
      <c r="C1175" s="8"/>
      <c r="D1175" s="8"/>
      <c r="E1175" s="13" t="str">
        <f>IF(ISBLANK(D1175), "", VLOOKUP(D1175, Config!$F$6:$G$30, 2, FALSE()))</f>
        <v/>
      </c>
      <c r="F1175" s="16"/>
    </row>
    <row r="1176" ht="15.0" customHeight="1">
      <c r="A1176" s="12"/>
      <c r="B1176" s="13"/>
      <c r="C1176" s="8"/>
      <c r="D1176" s="8"/>
      <c r="E1176" s="13" t="str">
        <f>IF(ISBLANK(D1176), "", VLOOKUP(D1176, Config!$F$6:$G$30, 2, FALSE()))</f>
        <v/>
      </c>
      <c r="F1176" s="16"/>
    </row>
    <row r="1177" ht="15.0" customHeight="1">
      <c r="A1177" s="12"/>
      <c r="B1177" s="13"/>
      <c r="C1177" s="8"/>
      <c r="D1177" s="8"/>
      <c r="E1177" s="13" t="str">
        <f>IF(ISBLANK(D1177), "", VLOOKUP(D1177, Config!$F$6:$G$30, 2, FALSE()))</f>
        <v/>
      </c>
      <c r="F1177" s="16"/>
    </row>
    <row r="1178" ht="15.0" customHeight="1">
      <c r="A1178" s="12"/>
      <c r="B1178" s="13"/>
      <c r="C1178" s="8"/>
      <c r="D1178" s="8"/>
      <c r="E1178" s="13" t="str">
        <f>IF(ISBLANK(D1178), "", VLOOKUP(D1178, Config!$F$6:$G$30, 2, FALSE()))</f>
        <v/>
      </c>
      <c r="F1178" s="16"/>
    </row>
    <row r="1179" ht="15.0" customHeight="1">
      <c r="A1179" s="12"/>
      <c r="B1179" s="13"/>
      <c r="C1179" s="8"/>
      <c r="D1179" s="8"/>
      <c r="E1179" s="13" t="str">
        <f>IF(ISBLANK(D1179), "", VLOOKUP(D1179, Config!$F$6:$G$30, 2, FALSE()))</f>
        <v/>
      </c>
      <c r="F1179" s="16"/>
    </row>
    <row r="1180" ht="15.0" customHeight="1">
      <c r="A1180" s="12"/>
      <c r="B1180" s="13"/>
      <c r="C1180" s="8"/>
      <c r="D1180" s="8"/>
      <c r="E1180" s="13" t="str">
        <f>IF(ISBLANK(D1180), "", VLOOKUP(D1180, Config!$F$6:$G$30, 2, FALSE()))</f>
        <v/>
      </c>
      <c r="F1180" s="16"/>
    </row>
    <row r="1181" ht="15.0" customHeight="1">
      <c r="A1181" s="12"/>
      <c r="B1181" s="13"/>
      <c r="C1181" s="8"/>
      <c r="D1181" s="8"/>
      <c r="E1181" s="13" t="str">
        <f>IF(ISBLANK(D1181), "", VLOOKUP(D1181, Config!$F$6:$G$30, 2, FALSE()))</f>
        <v/>
      </c>
      <c r="F1181" s="16"/>
    </row>
    <row r="1182" ht="15.0" customHeight="1">
      <c r="A1182" s="12"/>
      <c r="B1182" s="13"/>
      <c r="C1182" s="8"/>
      <c r="D1182" s="8"/>
      <c r="E1182" s="13" t="str">
        <f>IF(ISBLANK(D1182), "", VLOOKUP(D1182, Config!$F$6:$G$30, 2, FALSE()))</f>
        <v/>
      </c>
      <c r="F1182" s="16"/>
    </row>
    <row r="1183" ht="15.0" customHeight="1">
      <c r="A1183" s="12"/>
      <c r="B1183" s="13"/>
      <c r="C1183" s="8"/>
      <c r="D1183" s="8"/>
      <c r="E1183" s="13" t="str">
        <f>IF(ISBLANK(D1183), "", VLOOKUP(D1183, Config!$F$6:$G$30, 2, FALSE()))</f>
        <v/>
      </c>
      <c r="F1183" s="16"/>
    </row>
    <row r="1184" ht="15.0" customHeight="1">
      <c r="A1184" s="12"/>
      <c r="B1184" s="13"/>
      <c r="C1184" s="8"/>
      <c r="D1184" s="8"/>
      <c r="E1184" s="13" t="str">
        <f>IF(ISBLANK(D1184), "", VLOOKUP(D1184, Config!$F$6:$G$30, 2, FALSE()))</f>
        <v/>
      </c>
      <c r="F1184" s="16"/>
    </row>
    <row r="1185" ht="15.0" customHeight="1">
      <c r="A1185" s="12"/>
      <c r="B1185" s="13"/>
      <c r="C1185" s="8"/>
      <c r="D1185" s="8"/>
      <c r="E1185" s="13" t="str">
        <f>IF(ISBLANK(D1185), "", VLOOKUP(D1185, Config!$F$6:$G$30, 2, FALSE()))</f>
        <v/>
      </c>
      <c r="F1185" s="16"/>
    </row>
    <row r="1186" ht="15.0" customHeight="1">
      <c r="A1186" s="12"/>
      <c r="B1186" s="13"/>
      <c r="C1186" s="8"/>
      <c r="D1186" s="8"/>
      <c r="E1186" s="13" t="str">
        <f>IF(ISBLANK(D1186), "", VLOOKUP(D1186, Config!$F$6:$G$30, 2, FALSE()))</f>
        <v/>
      </c>
      <c r="F1186" s="16"/>
    </row>
    <row r="1187" ht="15.0" customHeight="1">
      <c r="A1187" s="12"/>
      <c r="B1187" s="13"/>
      <c r="C1187" s="8"/>
      <c r="D1187" s="8"/>
      <c r="E1187" s="13" t="str">
        <f>IF(ISBLANK(D1187), "", VLOOKUP(D1187, Config!$F$6:$G$17, 2, FALSE()))</f>
        <v/>
      </c>
      <c r="F1187" s="16"/>
    </row>
    <row r="1188" ht="15.0" customHeight="1">
      <c r="A1188" s="12"/>
      <c r="B1188" s="13"/>
      <c r="C1188" s="8"/>
      <c r="D1188" s="8"/>
      <c r="E1188" s="13" t="str">
        <f>IF(ISBLANK(D1188), "", VLOOKUP(D1188, Config!$F$6:$G$17, 2, FALSE()))</f>
        <v/>
      </c>
      <c r="F1188" s="16"/>
    </row>
    <row r="1189" ht="15.0" customHeight="1">
      <c r="A1189" s="12"/>
      <c r="B1189" s="13"/>
      <c r="C1189" s="8"/>
      <c r="D1189" s="8"/>
      <c r="E1189" s="13" t="str">
        <f>IF(ISBLANK(D1189), "", VLOOKUP(D1189, Config!$F$6:$G$17, 2, FALSE()))</f>
        <v/>
      </c>
      <c r="F1189" s="16"/>
    </row>
    <row r="1190" ht="15.0" customHeight="1">
      <c r="A1190" s="12"/>
      <c r="B1190" s="13"/>
      <c r="C1190" s="8"/>
      <c r="D1190" s="8"/>
      <c r="E1190" s="13" t="str">
        <f>IF(ISBLANK(D1190), "", VLOOKUP(D1190, Config!$F$6:$G$17, 2, FALSE()))</f>
        <v/>
      </c>
      <c r="F1190" s="16"/>
    </row>
    <row r="1191" ht="15.0" customHeight="1">
      <c r="A1191" s="12"/>
      <c r="B1191" s="13"/>
      <c r="C1191" s="8"/>
      <c r="D1191" s="8"/>
      <c r="E1191" s="13" t="str">
        <f>IF(ISBLANK(D1191), "", VLOOKUP(D1191, Config!$F$6:$G$17, 2, FALSE()))</f>
        <v/>
      </c>
      <c r="F1191" s="16"/>
    </row>
    <row r="1192" ht="15.0" customHeight="1">
      <c r="A1192" s="12"/>
      <c r="B1192" s="13"/>
      <c r="C1192" s="8"/>
      <c r="D1192" s="8"/>
      <c r="E1192" s="13" t="str">
        <f>IF(ISBLANK(D1192), "", VLOOKUP(D1192, Config!$F$6:$G$17, 2, FALSE()))</f>
        <v/>
      </c>
      <c r="F1192" s="16"/>
    </row>
    <row r="1193" ht="15.0" customHeight="1">
      <c r="A1193" s="12"/>
      <c r="B1193" s="13"/>
      <c r="C1193" s="8"/>
      <c r="D1193" s="8"/>
      <c r="E1193" s="13" t="str">
        <f>IF(ISBLANK(D1193), "", VLOOKUP(D1193, Config!$F$6:$G$17, 2, FALSE()))</f>
        <v/>
      </c>
      <c r="F1193" s="16"/>
    </row>
    <row r="1194" ht="15.0" customHeight="1">
      <c r="A1194" s="12"/>
      <c r="B1194" s="13"/>
      <c r="C1194" s="8"/>
      <c r="D1194" s="8"/>
      <c r="E1194" s="13" t="str">
        <f>IF(ISBLANK(D1194), "", VLOOKUP(D1194, Config!$F$6:$G$17, 2, FALSE()))</f>
        <v/>
      </c>
      <c r="F1194" s="16"/>
    </row>
    <row r="1195" ht="15.0" customHeight="1">
      <c r="A1195" s="12"/>
      <c r="B1195" s="13"/>
      <c r="C1195" s="8"/>
      <c r="D1195" s="8"/>
      <c r="E1195" s="13" t="str">
        <f>IF(ISBLANK(D1195), "", VLOOKUP(D1195, Config!$F$6:$G$17, 2, FALSE()))</f>
        <v/>
      </c>
      <c r="F1195" s="16"/>
    </row>
    <row r="1196" ht="15.0" customHeight="1">
      <c r="A1196" s="12"/>
      <c r="B1196" s="13"/>
      <c r="C1196" s="8"/>
      <c r="D1196" s="8"/>
      <c r="E1196" s="13" t="str">
        <f>IF(ISBLANK(D1196), "", VLOOKUP(D1196, Config!$F$6:$G$17, 2, FALSE()))</f>
        <v/>
      </c>
      <c r="F1196" s="16"/>
    </row>
    <row r="1197" ht="15.0" customHeight="1">
      <c r="A1197" s="12"/>
      <c r="B1197" s="13"/>
      <c r="C1197" s="8"/>
      <c r="D1197" s="8"/>
      <c r="E1197" s="13" t="str">
        <f>IF(ISBLANK(D1197), "", VLOOKUP(D1197, Config!$F$6:$G$17, 2, FALSE()))</f>
        <v/>
      </c>
      <c r="F1197" s="16"/>
    </row>
    <row r="1198" ht="15.0" customHeight="1">
      <c r="A1198" s="12"/>
      <c r="B1198" s="13"/>
      <c r="C1198" s="8"/>
      <c r="D1198" s="8"/>
      <c r="E1198" s="13" t="str">
        <f>IF(ISBLANK(D1198), "", VLOOKUP(D1198, Config!$F$6:$G$17, 2, FALSE()))</f>
        <v/>
      </c>
      <c r="F1198" s="16"/>
    </row>
    <row r="1199" ht="15.0" customHeight="1">
      <c r="A1199" s="12"/>
      <c r="B1199" s="13"/>
      <c r="C1199" s="8"/>
      <c r="D1199" s="8"/>
      <c r="E1199" s="13" t="str">
        <f>IF(ISBLANK(D1199), "", VLOOKUP(D1199, Config!$F$6:$G$17, 2, FALSE()))</f>
        <v/>
      </c>
      <c r="F1199" s="16"/>
    </row>
    <row r="1200" ht="15.0" customHeight="1">
      <c r="A1200" s="12"/>
      <c r="B1200" s="13"/>
      <c r="C1200" s="8"/>
      <c r="D1200" s="8"/>
      <c r="E1200" s="13" t="str">
        <f>IF(ISBLANK(D1200), "", VLOOKUP(D1200, Config!$F$6:$G$17, 2, FALSE()))</f>
        <v/>
      </c>
      <c r="F1200" s="16"/>
    </row>
    <row r="1201" ht="15.0" customHeight="1">
      <c r="A1201" s="12"/>
      <c r="B1201" s="13"/>
      <c r="C1201" s="8"/>
      <c r="D1201" s="8"/>
      <c r="E1201" s="13" t="str">
        <f>IF(ISBLANK(D1201), "", VLOOKUP(D1201, Config!$F$6:$G$17, 2, FALSE()))</f>
        <v/>
      </c>
      <c r="F1201" s="16"/>
    </row>
    <row r="1202" ht="15.0" customHeight="1">
      <c r="A1202" s="12"/>
      <c r="B1202" s="13"/>
      <c r="C1202" s="8"/>
      <c r="D1202" s="8"/>
      <c r="E1202" s="13" t="str">
        <f>IF(ISBLANK(D1202), "", VLOOKUP(D1202, Config!$F$6:$G$17, 2, FALSE()))</f>
        <v/>
      </c>
      <c r="F1202" s="16"/>
    </row>
    <row r="1203" ht="15.0" customHeight="1">
      <c r="A1203" s="12"/>
      <c r="B1203" s="13"/>
      <c r="C1203" s="8"/>
      <c r="D1203" s="8"/>
      <c r="E1203" s="13" t="str">
        <f>IF(ISBLANK(D1203), "", VLOOKUP(D1203, Config!$F$6:$G$17, 2, FALSE()))</f>
        <v/>
      </c>
      <c r="F1203" s="16"/>
    </row>
    <row r="1204" ht="15.0" customHeight="1">
      <c r="A1204" s="12"/>
      <c r="B1204" s="13"/>
      <c r="C1204" s="8"/>
      <c r="D1204" s="8"/>
      <c r="E1204" s="13" t="str">
        <f>IF(ISBLANK(D1204), "", VLOOKUP(D1204, Config!$F$6:$G$17, 2, FALSE()))</f>
        <v/>
      </c>
      <c r="F1204" s="16"/>
    </row>
    <row r="1205" ht="15.0" customHeight="1">
      <c r="A1205" s="12"/>
      <c r="B1205" s="13"/>
      <c r="C1205" s="8"/>
      <c r="D1205" s="8"/>
      <c r="E1205" s="13" t="str">
        <f>IF(ISBLANK(D1205), "", VLOOKUP(D1205, Config!$F$6:$G$17, 2, FALSE()))</f>
        <v/>
      </c>
      <c r="F1205" s="16"/>
    </row>
    <row r="1206" ht="15.0" customHeight="1">
      <c r="A1206" s="12"/>
      <c r="B1206" s="13"/>
      <c r="C1206" s="8"/>
      <c r="D1206" s="8"/>
      <c r="E1206" s="13" t="str">
        <f>IF(ISBLANK(D1206), "", VLOOKUP(D1206, Config!$F$6:$G$17, 2, FALSE()))</f>
        <v/>
      </c>
      <c r="F1206" s="16"/>
    </row>
    <row r="1207" ht="15.0" customHeight="1">
      <c r="A1207" s="12"/>
      <c r="B1207" s="13"/>
      <c r="C1207" s="8"/>
      <c r="D1207" s="8"/>
      <c r="E1207" s="13" t="str">
        <f>IF(ISBLANK(D1207), "", VLOOKUP(D1207, Config!$F$6:$G$17, 2, FALSE()))</f>
        <v/>
      </c>
      <c r="F1207" s="16"/>
    </row>
    <row r="1208" ht="15.0" customHeight="1">
      <c r="A1208" s="12"/>
      <c r="B1208" s="13"/>
      <c r="C1208" s="8"/>
      <c r="D1208" s="8"/>
      <c r="E1208" s="13" t="str">
        <f>IF(ISBLANK(D1208), "", VLOOKUP(D1208, Config!$F$6:$G$17, 2, FALSE()))</f>
        <v/>
      </c>
      <c r="F1208" s="16"/>
    </row>
    <row r="1209" ht="15.0" customHeight="1">
      <c r="A1209" s="12"/>
      <c r="B1209" s="13"/>
      <c r="C1209" s="8"/>
      <c r="D1209" s="8"/>
      <c r="E1209" s="13" t="str">
        <f>IF(ISBLANK(D1209), "", VLOOKUP(D1209, Config!$F$6:$G$17, 2, FALSE()))</f>
        <v/>
      </c>
      <c r="F1209" s="16"/>
    </row>
    <row r="1210" ht="15.0" customHeight="1">
      <c r="A1210" s="12"/>
      <c r="B1210" s="13"/>
      <c r="C1210" s="8"/>
      <c r="D1210" s="8"/>
      <c r="E1210" s="13" t="str">
        <f>IF(ISBLANK(D1210), "", VLOOKUP(D1210, Config!$F$6:$G$17, 2, FALSE()))</f>
        <v/>
      </c>
      <c r="F1210" s="16"/>
    </row>
    <row r="1211" ht="15.0" customHeight="1">
      <c r="A1211" s="12"/>
      <c r="B1211" s="13"/>
      <c r="C1211" s="8"/>
      <c r="D1211" s="8"/>
      <c r="E1211" s="13" t="str">
        <f>IF(ISBLANK(D1211), "", VLOOKUP(D1211, Config!$F$6:$G$17, 2, FALSE()))</f>
        <v/>
      </c>
      <c r="F1211" s="16"/>
    </row>
    <row r="1212" ht="15.0" customHeight="1">
      <c r="A1212" s="12"/>
      <c r="B1212" s="13"/>
      <c r="C1212" s="8"/>
      <c r="D1212" s="8"/>
      <c r="E1212" s="13" t="str">
        <f>IF(ISBLANK(D1212), "", VLOOKUP(D1212, Config!$F$6:$G$17, 2, FALSE()))</f>
        <v/>
      </c>
      <c r="F1212" s="16"/>
    </row>
    <row r="1213" ht="15.0" customHeight="1">
      <c r="A1213" s="12"/>
      <c r="B1213" s="13"/>
      <c r="C1213" s="8"/>
      <c r="D1213" s="8"/>
      <c r="E1213" s="13" t="str">
        <f>IF(ISBLANK(D1213), "", VLOOKUP(D1213, Config!$F$6:$G$17, 2, FALSE()))</f>
        <v/>
      </c>
      <c r="F1213" s="16"/>
    </row>
    <row r="1214" ht="15.0" customHeight="1">
      <c r="A1214" s="12"/>
      <c r="B1214" s="13"/>
      <c r="C1214" s="8"/>
      <c r="D1214" s="8"/>
      <c r="E1214" s="13" t="str">
        <f>IF(ISBLANK(D1214), "", VLOOKUP(D1214, Config!$F$6:$G$17, 2, FALSE()))</f>
        <v/>
      </c>
      <c r="F1214" s="16"/>
    </row>
    <row r="1215" ht="15.0" customHeight="1">
      <c r="A1215" s="12"/>
      <c r="B1215" s="13"/>
      <c r="C1215" s="8"/>
      <c r="D1215" s="8"/>
      <c r="E1215" s="13" t="str">
        <f>IF(ISBLANK(D1215), "", VLOOKUP(D1215, Config!$F$6:$G$17, 2, FALSE()))</f>
        <v/>
      </c>
      <c r="F1215" s="16"/>
    </row>
    <row r="1216" ht="15.0" customHeight="1">
      <c r="A1216" s="12"/>
      <c r="B1216" s="13"/>
      <c r="C1216" s="8"/>
      <c r="D1216" s="8"/>
      <c r="E1216" s="13" t="str">
        <f>IF(ISBLANK(D1216), "", VLOOKUP(D1216, Config!$F$6:$G$17, 2, FALSE()))</f>
        <v/>
      </c>
      <c r="F1216" s="16"/>
    </row>
    <row r="1217" ht="15.0" customHeight="1">
      <c r="A1217" s="12"/>
      <c r="B1217" s="13"/>
      <c r="C1217" s="8"/>
      <c r="D1217" s="8"/>
      <c r="E1217" s="13" t="str">
        <f>IF(ISBLANK(D1217), "", VLOOKUP(D1217, Config!$F$6:$G$17, 2, FALSE()))</f>
        <v/>
      </c>
      <c r="F1217" s="16"/>
    </row>
    <row r="1218" ht="15.0" customHeight="1">
      <c r="A1218" s="12"/>
      <c r="B1218" s="13"/>
      <c r="C1218" s="8"/>
      <c r="D1218" s="8"/>
      <c r="E1218" s="13" t="str">
        <f>IF(ISBLANK(D1218), "", VLOOKUP(D1218, Config!$F$6:$G$17, 2, FALSE()))</f>
        <v/>
      </c>
      <c r="F1218" s="16"/>
    </row>
    <row r="1219" ht="15.0" customHeight="1">
      <c r="A1219" s="12"/>
      <c r="B1219" s="13"/>
      <c r="C1219" s="8"/>
      <c r="D1219" s="8"/>
      <c r="E1219" s="13" t="str">
        <f>IF(ISBLANK(D1219), "", VLOOKUP(D1219, Config!$F$6:$G$17, 2, FALSE()))</f>
        <v/>
      </c>
      <c r="F1219" s="16"/>
    </row>
    <row r="1220" ht="15.0" customHeight="1">
      <c r="A1220" s="12"/>
      <c r="B1220" s="13"/>
      <c r="C1220" s="8"/>
      <c r="D1220" s="8"/>
      <c r="E1220" s="13" t="str">
        <f>IF(ISBLANK(D1220), "", VLOOKUP(D1220, Config!$F$6:$G$17, 2, FALSE()))</f>
        <v/>
      </c>
      <c r="F1220" s="16"/>
    </row>
    <row r="1221" ht="15.0" customHeight="1">
      <c r="A1221" s="12"/>
      <c r="B1221" s="13"/>
      <c r="C1221" s="8"/>
      <c r="D1221" s="8"/>
      <c r="E1221" s="13" t="str">
        <f>IF(ISBLANK(D1221), "", VLOOKUP(D1221, Config!$F$6:$G$17, 2, FALSE()))</f>
        <v/>
      </c>
      <c r="F1221" s="16"/>
    </row>
    <row r="1222" ht="15.0" customHeight="1">
      <c r="A1222" s="12"/>
      <c r="B1222" s="13"/>
      <c r="C1222" s="8"/>
      <c r="D1222" s="8"/>
      <c r="E1222" s="13" t="str">
        <f>IF(ISBLANK(D1222), "", VLOOKUP(D1222, Config!$F$6:$G$17, 2, FALSE()))</f>
        <v/>
      </c>
      <c r="F1222" s="16"/>
    </row>
    <row r="1223" ht="15.0" customHeight="1">
      <c r="A1223" s="12"/>
      <c r="B1223" s="13"/>
      <c r="C1223" s="8"/>
      <c r="D1223" s="8"/>
      <c r="E1223" s="13" t="str">
        <f>IF(ISBLANK(D1223), "", VLOOKUP(D1223, Config!$F$6:$G$17, 2, FALSE()))</f>
        <v/>
      </c>
      <c r="F1223" s="16"/>
    </row>
    <row r="1224" ht="15.0" customHeight="1">
      <c r="A1224" s="12"/>
      <c r="B1224" s="13"/>
      <c r="C1224" s="8"/>
      <c r="D1224" s="8"/>
      <c r="E1224" s="13" t="str">
        <f>IF(ISBLANK(D1224), "", VLOOKUP(D1224, Config!$F$6:$G$17, 2, FALSE()))</f>
        <v/>
      </c>
      <c r="F1224" s="16"/>
    </row>
    <row r="1225" ht="15.0" customHeight="1">
      <c r="A1225" s="12"/>
      <c r="B1225" s="13"/>
      <c r="C1225" s="8"/>
      <c r="D1225" s="8"/>
      <c r="E1225" s="13" t="str">
        <f>IF(ISBLANK(D1225), "", VLOOKUP(D1225, Config!$F$6:$G$17, 2, FALSE()))</f>
        <v/>
      </c>
      <c r="F1225" s="16"/>
    </row>
    <row r="1226" ht="15.0" customHeight="1">
      <c r="A1226" s="12"/>
      <c r="B1226" s="13"/>
      <c r="C1226" s="8"/>
      <c r="D1226" s="8"/>
      <c r="E1226" s="13" t="str">
        <f>IF(ISBLANK(D1226), "", VLOOKUP(D1226, Config!$F$6:$G$17, 2, FALSE()))</f>
        <v/>
      </c>
      <c r="F1226" s="16"/>
    </row>
    <row r="1227" ht="15.0" customHeight="1">
      <c r="A1227" s="12"/>
      <c r="B1227" s="13"/>
      <c r="C1227" s="8"/>
      <c r="D1227" s="8"/>
      <c r="E1227" s="13" t="str">
        <f>IF(ISBLANK(D1227), "", VLOOKUP(D1227, Config!$F$6:$G$17, 2, FALSE()))</f>
        <v/>
      </c>
      <c r="F1227" s="16"/>
    </row>
    <row r="1228" ht="15.0" customHeight="1">
      <c r="A1228" s="12"/>
      <c r="B1228" s="13"/>
      <c r="C1228" s="8"/>
      <c r="D1228" s="8"/>
      <c r="E1228" s="13" t="str">
        <f>IF(ISBLANK(D1228), "", VLOOKUP(D1228, Config!$F$6:$G$17, 2, FALSE()))</f>
        <v/>
      </c>
      <c r="F1228" s="16"/>
    </row>
    <row r="1229" ht="15.0" customHeight="1">
      <c r="A1229" s="12"/>
      <c r="B1229" s="13"/>
      <c r="C1229" s="8"/>
      <c r="D1229" s="8"/>
      <c r="E1229" s="13" t="str">
        <f>IF(ISBLANK(D1229), "", VLOOKUP(D1229, Config!$F$6:$G$17, 2, FALSE()))</f>
        <v/>
      </c>
      <c r="F1229" s="16"/>
    </row>
    <row r="1230" ht="15.0" customHeight="1">
      <c r="A1230" s="12"/>
      <c r="B1230" s="13"/>
      <c r="C1230" s="8"/>
      <c r="D1230" s="8"/>
      <c r="E1230" s="13" t="str">
        <f>IF(ISBLANK(D1230), "", VLOOKUP(D1230, Config!$F$6:$G$17, 2, FALSE()))</f>
        <v/>
      </c>
      <c r="F1230" s="16"/>
    </row>
    <row r="1231" ht="15.0" customHeight="1">
      <c r="A1231" s="12"/>
      <c r="B1231" s="13"/>
      <c r="C1231" s="8"/>
      <c r="D1231" s="8"/>
      <c r="E1231" s="13" t="str">
        <f>IF(ISBLANK(D1231), "", VLOOKUP(D1231, Config!$F$6:$G$17, 2, FALSE()))</f>
        <v/>
      </c>
      <c r="F1231" s="16"/>
    </row>
    <row r="1232" ht="15.0" customHeight="1">
      <c r="A1232" s="12"/>
      <c r="B1232" s="13"/>
      <c r="C1232" s="8"/>
      <c r="D1232" s="8"/>
      <c r="E1232" s="13" t="str">
        <f>IF(ISBLANK(D1232), "", VLOOKUP(D1232, Config!$F$6:$G$17, 2, FALSE()))</f>
        <v/>
      </c>
      <c r="F1232" s="16"/>
    </row>
    <row r="1233" ht="15.0" customHeight="1">
      <c r="A1233" s="12"/>
      <c r="B1233" s="13"/>
      <c r="C1233" s="8"/>
      <c r="D1233" s="8"/>
      <c r="E1233" s="13" t="str">
        <f>IF(ISBLANK(D1233), "", VLOOKUP(D1233, Config!$F$6:$G$17, 2, FALSE()))</f>
        <v/>
      </c>
      <c r="F1233" s="16"/>
    </row>
    <row r="1234" ht="15.0" customHeight="1">
      <c r="A1234" s="12"/>
      <c r="B1234" s="13"/>
      <c r="C1234" s="8"/>
      <c r="D1234" s="8"/>
      <c r="E1234" s="13" t="str">
        <f>IF(ISBLANK(D1234), "", VLOOKUP(D1234, Config!$F$6:$G$17, 2, FALSE()))</f>
        <v/>
      </c>
      <c r="F1234" s="16"/>
    </row>
    <row r="1235" ht="15.0" customHeight="1">
      <c r="A1235" s="12"/>
      <c r="B1235" s="13"/>
      <c r="C1235" s="8"/>
      <c r="D1235" s="8"/>
      <c r="E1235" s="13" t="str">
        <f>IF(ISBLANK(D1235), "", VLOOKUP(D1235, Config!$F$6:$G$17, 2, FALSE()))</f>
        <v/>
      </c>
      <c r="F1235" s="16"/>
    </row>
    <row r="1236" ht="15.0" customHeight="1">
      <c r="A1236" s="12"/>
      <c r="B1236" s="13"/>
      <c r="C1236" s="8"/>
      <c r="D1236" s="8"/>
      <c r="E1236" s="13" t="str">
        <f>IF(ISBLANK(D1236), "", VLOOKUP(D1236, Config!$F$6:$G$17, 2, FALSE()))</f>
        <v/>
      </c>
      <c r="F1236" s="16"/>
    </row>
    <row r="1237" ht="15.0" customHeight="1">
      <c r="A1237" s="12"/>
      <c r="B1237" s="13"/>
      <c r="C1237" s="8"/>
      <c r="D1237" s="8"/>
      <c r="E1237" s="13" t="str">
        <f>IF(ISBLANK(D1237), "", VLOOKUP(D1237, Config!$F$6:$G$17, 2, FALSE()))</f>
        <v/>
      </c>
      <c r="F1237" s="16"/>
    </row>
    <row r="1238" ht="15.0" customHeight="1">
      <c r="A1238" s="12"/>
      <c r="B1238" s="13"/>
      <c r="C1238" s="8"/>
      <c r="D1238" s="8"/>
      <c r="E1238" s="13" t="str">
        <f>IF(ISBLANK(D1238), "", VLOOKUP(D1238, Config!$F$6:$G$17, 2, FALSE()))</f>
        <v/>
      </c>
      <c r="F1238" s="16"/>
    </row>
    <row r="1239" ht="15.0" customHeight="1">
      <c r="A1239" s="12"/>
      <c r="B1239" s="13"/>
      <c r="C1239" s="8"/>
      <c r="D1239" s="8"/>
      <c r="E1239" s="13" t="str">
        <f>IF(ISBLANK(D1239), "", VLOOKUP(D1239, Config!$F$6:$G$17, 2, FALSE()))</f>
        <v/>
      </c>
      <c r="F1239" s="16"/>
    </row>
    <row r="1240" ht="15.0" customHeight="1">
      <c r="A1240" s="12"/>
      <c r="B1240" s="13"/>
      <c r="C1240" s="8"/>
      <c r="D1240" s="8"/>
      <c r="E1240" s="13" t="str">
        <f>IF(ISBLANK(D1240), "", VLOOKUP(D1240, Config!$F$6:$G$17, 2, FALSE()))</f>
        <v/>
      </c>
      <c r="F1240" s="16"/>
    </row>
    <row r="1241" ht="15.0" customHeight="1">
      <c r="A1241" s="12"/>
      <c r="B1241" s="13"/>
      <c r="C1241" s="8"/>
      <c r="D1241" s="8"/>
      <c r="E1241" s="13" t="str">
        <f>IF(ISBLANK(D1241), "", VLOOKUP(D1241, Config!$F$6:$G$17, 2, FALSE()))</f>
        <v/>
      </c>
      <c r="F1241" s="16"/>
    </row>
    <row r="1242" ht="15.0" customHeight="1">
      <c r="A1242" s="12"/>
      <c r="B1242" s="13"/>
      <c r="C1242" s="8"/>
      <c r="D1242" s="8"/>
      <c r="E1242" s="13" t="str">
        <f>IF(ISBLANK(D1242), "", VLOOKUP(D1242, Config!$F$6:$G$17, 2, FALSE()))</f>
        <v/>
      </c>
      <c r="F1242" s="16"/>
    </row>
    <row r="1243" ht="15.0" customHeight="1">
      <c r="A1243" s="12"/>
      <c r="B1243" s="13"/>
      <c r="C1243" s="8"/>
      <c r="D1243" s="8"/>
      <c r="E1243" s="13" t="str">
        <f>IF(ISBLANK(D1243), "", VLOOKUP(D1243, Config!$F$6:$G$17, 2, FALSE()))</f>
        <v/>
      </c>
      <c r="F1243" s="16"/>
    </row>
    <row r="1244" ht="15.0" customHeight="1">
      <c r="A1244" s="12"/>
      <c r="B1244" s="13"/>
      <c r="C1244" s="8"/>
      <c r="D1244" s="8"/>
      <c r="E1244" s="13" t="str">
        <f>IF(ISBLANK(D1244), "", VLOOKUP(D1244, Config!$F$6:$G$17, 2, FALSE()))</f>
        <v/>
      </c>
      <c r="F1244" s="16"/>
    </row>
    <row r="1245" ht="15.0" customHeight="1">
      <c r="A1245" s="12"/>
      <c r="B1245" s="13"/>
      <c r="C1245" s="8"/>
      <c r="D1245" s="8"/>
      <c r="E1245" s="13" t="str">
        <f>IF(ISBLANK(D1245), "", VLOOKUP(D1245, Config!$F$6:$G$17, 2, FALSE()))</f>
        <v/>
      </c>
      <c r="F1245" s="16"/>
    </row>
    <row r="1246" ht="15.0" customHeight="1">
      <c r="A1246" s="12"/>
      <c r="B1246" s="13"/>
      <c r="C1246" s="8"/>
      <c r="D1246" s="8"/>
      <c r="E1246" s="13" t="str">
        <f>IF(ISBLANK(D1246), "", VLOOKUP(D1246, Config!$F$6:$G$17, 2, FALSE()))</f>
        <v/>
      </c>
      <c r="F1246" s="16"/>
    </row>
    <row r="1247" ht="15.0" customHeight="1">
      <c r="A1247" s="12"/>
      <c r="B1247" s="13"/>
      <c r="C1247" s="8"/>
      <c r="D1247" s="8"/>
      <c r="E1247" s="13" t="str">
        <f>IF(ISBLANK(D1247), "", VLOOKUP(D1247, Config!$F$6:$G$17, 2, FALSE()))</f>
        <v/>
      </c>
      <c r="F1247" s="16"/>
    </row>
    <row r="1248" ht="15.0" customHeight="1">
      <c r="A1248" s="12"/>
      <c r="B1248" s="13"/>
      <c r="C1248" s="8"/>
      <c r="D1248" s="8"/>
      <c r="E1248" s="13" t="str">
        <f>IF(ISBLANK(D1248), "", VLOOKUP(D1248, Config!$F$6:$G$17, 2, FALSE()))</f>
        <v/>
      </c>
      <c r="F1248" s="16"/>
    </row>
    <row r="1249" ht="15.0" customHeight="1">
      <c r="A1249" s="12"/>
      <c r="B1249" s="13"/>
      <c r="C1249" s="8"/>
      <c r="D1249" s="8"/>
      <c r="E1249" s="13" t="str">
        <f>IF(ISBLANK(D1249), "", VLOOKUP(D1249, Config!$F$6:$G$17, 2, FALSE()))</f>
        <v/>
      </c>
      <c r="F1249" s="16"/>
    </row>
    <row r="1250" ht="15.0" customHeight="1">
      <c r="A1250" s="12"/>
      <c r="B1250" s="13"/>
      <c r="C1250" s="8"/>
      <c r="D1250" s="8"/>
      <c r="E1250" s="13" t="str">
        <f>IF(ISBLANK(D1250), "", VLOOKUP(D1250, Config!$F$6:$G$17, 2, FALSE()))</f>
        <v/>
      </c>
      <c r="F1250" s="16"/>
    </row>
    <row r="1251" ht="15.0" customHeight="1">
      <c r="A1251" s="12"/>
      <c r="B1251" s="13"/>
      <c r="C1251" s="8"/>
      <c r="D1251" s="8"/>
      <c r="E1251" s="13" t="str">
        <f>IF(ISBLANK(D1251), "", VLOOKUP(D1251, Config!$F$6:$G$17, 2, FALSE()))</f>
        <v/>
      </c>
      <c r="F1251" s="16"/>
    </row>
    <row r="1252" ht="15.0" customHeight="1">
      <c r="A1252" s="12"/>
      <c r="B1252" s="13"/>
      <c r="C1252" s="8"/>
      <c r="D1252" s="8"/>
      <c r="E1252" s="13" t="str">
        <f>IF(ISBLANK(D1252), "", VLOOKUP(D1252, Config!$F$6:$G$17, 2, FALSE()))</f>
        <v/>
      </c>
      <c r="F1252" s="16"/>
    </row>
    <row r="1253" ht="15.0" customHeight="1">
      <c r="A1253" s="12"/>
      <c r="B1253" s="13"/>
      <c r="C1253" s="8"/>
      <c r="D1253" s="8"/>
      <c r="E1253" s="13" t="str">
        <f>IF(ISBLANK(D1253), "", VLOOKUP(D1253, Config!$F$6:$G$17, 2, FALSE()))</f>
        <v/>
      </c>
      <c r="F1253" s="16"/>
    </row>
    <row r="1254" ht="15.0" customHeight="1">
      <c r="A1254" s="12"/>
      <c r="B1254" s="13"/>
      <c r="C1254" s="8"/>
      <c r="D1254" s="8"/>
      <c r="E1254" s="13" t="str">
        <f>IF(ISBLANK(D1254), "", VLOOKUP(D1254, Config!$F$6:$G$17, 2, FALSE()))</f>
        <v/>
      </c>
      <c r="F1254" s="16"/>
    </row>
    <row r="1255" ht="15.0" customHeight="1">
      <c r="A1255" s="12"/>
      <c r="B1255" s="13"/>
      <c r="C1255" s="8"/>
      <c r="D1255" s="8"/>
      <c r="E1255" s="13" t="str">
        <f>IF(ISBLANK(D1255), "", VLOOKUP(D1255, Config!$F$6:$G$17, 2, FALSE()))</f>
        <v/>
      </c>
      <c r="F1255" s="16"/>
    </row>
    <row r="1256" ht="15.0" customHeight="1">
      <c r="A1256" s="12"/>
      <c r="B1256" s="13"/>
      <c r="C1256" s="8"/>
      <c r="D1256" s="8"/>
      <c r="E1256" s="13" t="str">
        <f>IF(ISBLANK(D1256), "", VLOOKUP(D1256, Config!$F$6:$G$17, 2, FALSE()))</f>
        <v/>
      </c>
      <c r="F1256" s="16"/>
    </row>
    <row r="1257" ht="15.0" customHeight="1">
      <c r="A1257" s="12"/>
      <c r="B1257" s="13"/>
      <c r="C1257" s="8"/>
      <c r="D1257" s="8"/>
      <c r="E1257" s="13" t="str">
        <f>IF(ISBLANK(D1257), "", VLOOKUP(D1257, Config!$F$6:$G$17, 2, FALSE()))</f>
        <v/>
      </c>
      <c r="F1257" s="16"/>
    </row>
    <row r="1258" ht="15.0" customHeight="1">
      <c r="A1258" s="12"/>
      <c r="B1258" s="13"/>
      <c r="C1258" s="8"/>
      <c r="D1258" s="8"/>
      <c r="E1258" s="13" t="str">
        <f>IF(ISBLANK(D1258), "", VLOOKUP(D1258, Config!$F$6:$G$17, 2, FALSE()))</f>
        <v/>
      </c>
      <c r="F1258" s="16"/>
    </row>
    <row r="1259" ht="15.0" customHeight="1">
      <c r="A1259" s="12"/>
      <c r="B1259" s="13"/>
      <c r="C1259" s="8"/>
      <c r="D1259" s="8"/>
      <c r="E1259" s="13" t="str">
        <f>IF(ISBLANK(D1259), "", VLOOKUP(D1259, Config!$F$6:$G$17, 2, FALSE()))</f>
        <v/>
      </c>
      <c r="F1259" s="16"/>
    </row>
    <row r="1260" ht="15.0" customHeight="1">
      <c r="A1260" s="12"/>
      <c r="B1260" s="13"/>
      <c r="C1260" s="8"/>
      <c r="D1260" s="8"/>
      <c r="E1260" s="13" t="str">
        <f>IF(ISBLANK(D1260), "", VLOOKUP(D1260, Config!$F$6:$G$17, 2, FALSE()))</f>
        <v/>
      </c>
      <c r="F1260" s="16"/>
    </row>
    <row r="1261" ht="15.0" customHeight="1">
      <c r="A1261" s="12"/>
      <c r="B1261" s="13"/>
      <c r="C1261" s="8"/>
      <c r="D1261" s="8"/>
      <c r="E1261" s="13" t="str">
        <f>IF(ISBLANK(D1261), "", VLOOKUP(D1261, Config!$F$6:$G$17, 2, FALSE()))</f>
        <v/>
      </c>
      <c r="F1261" s="16"/>
    </row>
    <row r="1262" ht="15.0" customHeight="1">
      <c r="A1262" s="12"/>
      <c r="B1262" s="13"/>
      <c r="C1262" s="8"/>
      <c r="D1262" s="8"/>
      <c r="E1262" s="13" t="str">
        <f>IF(ISBLANK(D1262), "", VLOOKUP(D1262, Config!$F$6:$G$17, 2, FALSE()))</f>
        <v/>
      </c>
      <c r="F1262" s="16"/>
    </row>
    <row r="1263" ht="15.0" customHeight="1">
      <c r="A1263" s="12"/>
      <c r="B1263" s="13"/>
      <c r="C1263" s="8"/>
      <c r="D1263" s="8"/>
      <c r="E1263" s="13" t="str">
        <f>IF(ISBLANK(D1263), "", VLOOKUP(D1263, Config!$F$6:$G$17, 2, FALSE()))</f>
        <v/>
      </c>
      <c r="F1263" s="16"/>
    </row>
    <row r="1264" ht="15.0" customHeight="1">
      <c r="A1264" s="12"/>
      <c r="B1264" s="13"/>
      <c r="C1264" s="8"/>
      <c r="D1264" s="8"/>
      <c r="E1264" s="13" t="str">
        <f>IF(ISBLANK(D1264), "", VLOOKUP(D1264, Config!$F$6:$G$17, 2, FALSE()))</f>
        <v/>
      </c>
      <c r="F1264" s="16"/>
    </row>
    <row r="1265" ht="15.0" customHeight="1">
      <c r="A1265" s="12"/>
      <c r="B1265" s="13"/>
      <c r="C1265" s="8"/>
      <c r="D1265" s="8"/>
      <c r="E1265" s="13" t="str">
        <f>IF(ISBLANK(D1265), "", VLOOKUP(D1265, Config!$F$6:$G$17, 2, FALSE()))</f>
        <v/>
      </c>
      <c r="F1265" s="16"/>
    </row>
    <row r="1266" ht="15.0" customHeight="1">
      <c r="A1266" s="12"/>
      <c r="B1266" s="13"/>
      <c r="C1266" s="8"/>
      <c r="D1266" s="8"/>
      <c r="E1266" s="13" t="str">
        <f>IF(ISBLANK(D1266), "", VLOOKUP(D1266, Config!$F$6:$G$17, 2, FALSE()))</f>
        <v/>
      </c>
      <c r="F1266" s="16"/>
    </row>
    <row r="1267" ht="15.0" customHeight="1">
      <c r="A1267" s="12"/>
      <c r="B1267" s="13"/>
      <c r="C1267" s="8"/>
      <c r="D1267" s="8"/>
      <c r="E1267" s="13" t="str">
        <f>IF(ISBLANK(D1267), "", VLOOKUP(D1267, Config!$F$6:$G$17, 2, FALSE()))</f>
        <v/>
      </c>
      <c r="F1267" s="16"/>
    </row>
    <row r="1268" ht="15.0" customHeight="1">
      <c r="A1268" s="12"/>
      <c r="B1268" s="13"/>
      <c r="C1268" s="8"/>
      <c r="D1268" s="8"/>
      <c r="E1268" s="13" t="str">
        <f>IF(ISBLANK(D1268), "", VLOOKUP(D1268, Config!$F$6:$G$17, 2, FALSE()))</f>
        <v/>
      </c>
      <c r="F1268" s="16"/>
    </row>
    <row r="1269" ht="15.0" customHeight="1">
      <c r="A1269" s="12"/>
      <c r="B1269" s="13"/>
      <c r="C1269" s="8"/>
      <c r="D1269" s="8"/>
      <c r="E1269" s="13" t="str">
        <f>IF(ISBLANK(D1269), "", VLOOKUP(D1269, Config!$F$6:$G$17, 2, FALSE()))</f>
        <v/>
      </c>
      <c r="F1269" s="16"/>
    </row>
    <row r="1270" ht="15.0" customHeight="1">
      <c r="A1270" s="12"/>
      <c r="B1270" s="13"/>
      <c r="C1270" s="8"/>
      <c r="D1270" s="8"/>
      <c r="E1270" s="13" t="str">
        <f>IF(ISBLANK(D1270), "", VLOOKUP(D1270, Config!$F$6:$G$17, 2, FALSE()))</f>
        <v/>
      </c>
      <c r="F1270" s="16"/>
    </row>
    <row r="1271" ht="15.0" customHeight="1">
      <c r="A1271" s="12"/>
      <c r="B1271" s="13"/>
      <c r="C1271" s="8"/>
      <c r="D1271" s="8"/>
      <c r="E1271" s="13" t="str">
        <f>IF(ISBLANK(D1271), "", VLOOKUP(D1271, Config!$F$6:$G$17, 2, FALSE()))</f>
        <v/>
      </c>
      <c r="F1271" s="16"/>
    </row>
    <row r="1272" ht="15.0" customHeight="1">
      <c r="A1272" s="12"/>
      <c r="B1272" s="13"/>
      <c r="C1272" s="8"/>
      <c r="D1272" s="8"/>
      <c r="E1272" s="13" t="str">
        <f>IF(ISBLANK(D1272), "", VLOOKUP(D1272, Config!$F$6:$G$17, 2, FALSE()))</f>
        <v/>
      </c>
      <c r="F1272" s="16"/>
    </row>
    <row r="1273" ht="15.0" customHeight="1">
      <c r="A1273" s="12"/>
      <c r="B1273" s="13"/>
      <c r="C1273" s="8"/>
      <c r="D1273" s="8"/>
      <c r="E1273" s="13" t="str">
        <f>IF(ISBLANK(D1273), "", VLOOKUP(D1273, Config!$F$6:$G$17, 2, FALSE()))</f>
        <v/>
      </c>
      <c r="F1273" s="16"/>
    </row>
    <row r="1274" ht="15.0" customHeight="1">
      <c r="A1274" s="12"/>
      <c r="B1274" s="13"/>
      <c r="C1274" s="8"/>
      <c r="D1274" s="8"/>
      <c r="E1274" s="13" t="str">
        <f>IF(ISBLANK(D1274), "", VLOOKUP(D1274, Config!$F$6:$G$17, 2, FALSE()))</f>
        <v/>
      </c>
      <c r="F1274" s="16"/>
    </row>
    <row r="1275" ht="15.0" customHeight="1">
      <c r="A1275" s="12"/>
      <c r="B1275" s="13"/>
      <c r="C1275" s="8"/>
      <c r="D1275" s="8"/>
      <c r="E1275" s="13" t="str">
        <f>IF(ISBLANK(D1275), "", VLOOKUP(D1275, Config!$F$6:$G$17, 2, FALSE()))</f>
        <v/>
      </c>
      <c r="F1275" s="16"/>
    </row>
    <row r="1276" ht="15.0" customHeight="1">
      <c r="A1276" s="12"/>
      <c r="B1276" s="13"/>
      <c r="C1276" s="8"/>
      <c r="D1276" s="8"/>
      <c r="E1276" s="13" t="str">
        <f>IF(ISBLANK(D1276), "", VLOOKUP(D1276, Config!$F$6:$G$17, 2, FALSE()))</f>
        <v/>
      </c>
      <c r="F1276" s="16"/>
    </row>
    <row r="1277" ht="15.0" customHeight="1">
      <c r="A1277" s="12"/>
      <c r="B1277" s="13"/>
      <c r="C1277" s="8"/>
      <c r="D1277" s="8"/>
      <c r="E1277" s="13" t="str">
        <f>IF(ISBLANK(D1277), "", VLOOKUP(D1277, Config!$F$6:$G$17, 2, FALSE()))</f>
        <v/>
      </c>
      <c r="F1277" s="16"/>
    </row>
    <row r="1278" ht="15.0" customHeight="1">
      <c r="A1278" s="12"/>
      <c r="B1278" s="13"/>
      <c r="C1278" s="8"/>
      <c r="D1278" s="8"/>
      <c r="E1278" s="13" t="str">
        <f>IF(ISBLANK(D1278), "", VLOOKUP(D1278, Config!$F$6:$G$17, 2, FALSE()))</f>
        <v/>
      </c>
      <c r="F1278" s="16"/>
    </row>
    <row r="1279" ht="15.0" customHeight="1">
      <c r="A1279" s="12"/>
      <c r="B1279" s="13"/>
      <c r="C1279" s="8"/>
      <c r="D1279" s="8"/>
      <c r="E1279" s="13" t="str">
        <f>IF(ISBLANK(D1279), "", VLOOKUP(D1279, Config!$F$6:$G$17, 2, FALSE()))</f>
        <v/>
      </c>
      <c r="F1279" s="16"/>
    </row>
    <row r="1280" ht="15.0" customHeight="1">
      <c r="A1280" s="12"/>
      <c r="B1280" s="13"/>
      <c r="C1280" s="8"/>
      <c r="D1280" s="8"/>
      <c r="E1280" s="13" t="str">
        <f>IF(ISBLANK(D1280), "", VLOOKUP(D1280, Config!$F$6:$G$17, 2, FALSE()))</f>
        <v/>
      </c>
      <c r="F1280" s="16"/>
    </row>
    <row r="1281" ht="15.0" customHeight="1">
      <c r="A1281" s="12"/>
      <c r="B1281" s="13"/>
      <c r="C1281" s="8"/>
      <c r="D1281" s="8"/>
      <c r="E1281" s="13" t="str">
        <f>IF(ISBLANK(D1281), "", VLOOKUP(D1281, Config!$F$6:$G$17, 2, FALSE()))</f>
        <v/>
      </c>
      <c r="F1281" s="16"/>
    </row>
    <row r="1282" ht="15.0" customHeight="1">
      <c r="A1282" s="12"/>
      <c r="B1282" s="13"/>
      <c r="C1282" s="8"/>
      <c r="D1282" s="8"/>
      <c r="E1282" s="13" t="str">
        <f>IF(ISBLANK(D1282), "", VLOOKUP(D1282, Config!$F$6:$G$17, 2, FALSE()))</f>
        <v/>
      </c>
      <c r="F1282" s="16"/>
    </row>
    <row r="1283" ht="15.0" customHeight="1">
      <c r="A1283" s="12"/>
      <c r="B1283" s="13"/>
      <c r="C1283" s="8"/>
      <c r="D1283" s="8"/>
      <c r="E1283" s="13" t="str">
        <f>IF(ISBLANK(D1283), "", VLOOKUP(D1283, Config!$F$6:$G$17, 2, FALSE()))</f>
        <v/>
      </c>
      <c r="F1283" s="16"/>
    </row>
    <row r="1284" ht="15.0" customHeight="1">
      <c r="A1284" s="12"/>
      <c r="B1284" s="13"/>
      <c r="C1284" s="8"/>
      <c r="D1284" s="8"/>
      <c r="E1284" s="13" t="str">
        <f>IF(ISBLANK(D1284), "", VLOOKUP(D1284, Config!$F$6:$G$17, 2, FALSE()))</f>
        <v/>
      </c>
      <c r="F1284" s="16"/>
    </row>
    <row r="1285" ht="15.0" customHeight="1">
      <c r="A1285" s="12"/>
      <c r="B1285" s="13"/>
      <c r="C1285" s="8"/>
      <c r="D1285" s="8"/>
      <c r="E1285" s="13" t="str">
        <f>IF(ISBLANK(D1285), "", VLOOKUP(D1285, Config!$F$6:$G$17, 2, FALSE()))</f>
        <v/>
      </c>
      <c r="F1285" s="16"/>
    </row>
    <row r="1286" ht="15.0" customHeight="1">
      <c r="A1286" s="12"/>
      <c r="B1286" s="13"/>
      <c r="C1286" s="8"/>
      <c r="D1286" s="8"/>
      <c r="E1286" s="13" t="str">
        <f>IF(ISBLANK(D1286), "", VLOOKUP(D1286, Config!$F$6:$G$17, 2, FALSE()))</f>
        <v/>
      </c>
      <c r="F1286" s="16"/>
    </row>
    <row r="1287" ht="15.0" customHeight="1">
      <c r="A1287" s="12"/>
      <c r="B1287" s="13"/>
      <c r="C1287" s="8"/>
      <c r="D1287" s="8"/>
      <c r="E1287" s="13" t="str">
        <f>IF(ISBLANK(D1287), "", VLOOKUP(D1287, Config!$F$6:$G$17, 2, FALSE()))</f>
        <v/>
      </c>
      <c r="F1287" s="16"/>
    </row>
    <row r="1288" ht="15.0" customHeight="1">
      <c r="A1288" s="12"/>
      <c r="B1288" s="13"/>
      <c r="C1288" s="8"/>
      <c r="D1288" s="8"/>
      <c r="E1288" s="13" t="str">
        <f>IF(ISBLANK(D1288), "", VLOOKUP(D1288, Config!$F$6:$G$17, 2, FALSE()))</f>
        <v/>
      </c>
      <c r="F1288" s="16"/>
    </row>
    <row r="1289" ht="15.0" customHeight="1">
      <c r="A1289" s="12"/>
      <c r="B1289" s="13"/>
      <c r="C1289" s="8"/>
      <c r="D1289" s="8"/>
      <c r="E1289" s="13" t="str">
        <f>IF(ISBLANK(D1289), "", VLOOKUP(D1289, Config!$F$6:$G$17, 2, FALSE()))</f>
        <v/>
      </c>
      <c r="F1289" s="16"/>
    </row>
    <row r="1290" ht="15.0" customHeight="1">
      <c r="A1290" s="12"/>
      <c r="B1290" s="13"/>
      <c r="C1290" s="8"/>
      <c r="D1290" s="8"/>
      <c r="E1290" s="13" t="str">
        <f>IF(ISBLANK(D1290), "", VLOOKUP(D1290, Config!$F$6:$G$17, 2, FALSE()))</f>
        <v/>
      </c>
      <c r="F1290" s="16"/>
    </row>
    <row r="1291" ht="15.0" customHeight="1">
      <c r="A1291" s="12"/>
      <c r="B1291" s="13"/>
      <c r="C1291" s="8"/>
      <c r="D1291" s="8"/>
      <c r="E1291" s="13" t="str">
        <f>IF(ISBLANK(D1291), "", VLOOKUP(D1291, Config!$F$6:$G$17, 2, FALSE()))</f>
        <v/>
      </c>
      <c r="F1291" s="16"/>
    </row>
    <row r="1292" ht="15.0" customHeight="1">
      <c r="A1292" s="12"/>
      <c r="B1292" s="13"/>
      <c r="C1292" s="8"/>
      <c r="D1292" s="8"/>
      <c r="E1292" s="13" t="str">
        <f>IF(ISBLANK(D1292), "", VLOOKUP(D1292, Config!$F$6:$G$17, 2, FALSE()))</f>
        <v/>
      </c>
      <c r="F1292" s="16"/>
    </row>
    <row r="1293" ht="15.0" customHeight="1">
      <c r="A1293" s="12"/>
      <c r="B1293" s="13"/>
      <c r="C1293" s="8"/>
      <c r="D1293" s="8"/>
      <c r="E1293" s="13" t="str">
        <f>IF(ISBLANK(D1293), "", VLOOKUP(D1293, Config!$F$6:$G$17, 2, FALSE()))</f>
        <v/>
      </c>
      <c r="F1293" s="16"/>
    </row>
    <row r="1294" ht="15.0" customHeight="1">
      <c r="A1294" s="12"/>
      <c r="B1294" s="13"/>
      <c r="C1294" s="8"/>
      <c r="D1294" s="8"/>
      <c r="E1294" s="13" t="str">
        <f>IF(ISBLANK(D1294), "", VLOOKUP(D1294, Config!$F$6:$G$17, 2, FALSE()))</f>
        <v/>
      </c>
      <c r="F1294" s="16"/>
    </row>
    <row r="1295" ht="15.0" customHeight="1">
      <c r="A1295" s="12"/>
      <c r="B1295" s="13"/>
      <c r="C1295" s="8"/>
      <c r="D1295" s="8"/>
      <c r="E1295" s="13" t="str">
        <f>IF(ISBLANK(D1295), "", VLOOKUP(D1295, Config!$F$6:$G$17, 2, FALSE()))</f>
        <v/>
      </c>
      <c r="F1295" s="16"/>
    </row>
    <row r="1296" ht="15.0" customHeight="1">
      <c r="A1296" s="12"/>
      <c r="B1296" s="13"/>
      <c r="C1296" s="8"/>
      <c r="D1296" s="8"/>
      <c r="E1296" s="13" t="str">
        <f>IF(ISBLANK(D1296), "", VLOOKUP(D1296, Config!$F$6:$G$17, 2, FALSE()))</f>
        <v/>
      </c>
      <c r="F1296" s="16"/>
    </row>
    <row r="1297" ht="15.0" customHeight="1">
      <c r="A1297" s="12"/>
      <c r="B1297" s="13"/>
      <c r="C1297" s="8"/>
      <c r="D1297" s="8"/>
      <c r="E1297" s="13" t="str">
        <f>IF(ISBLANK(D1297), "", VLOOKUP(D1297, Config!$F$6:$G$17, 2, FALSE()))</f>
        <v/>
      </c>
      <c r="F1297" s="16"/>
    </row>
    <row r="1298" ht="15.0" customHeight="1">
      <c r="A1298" s="12"/>
      <c r="B1298" s="13"/>
      <c r="C1298" s="8"/>
      <c r="D1298" s="8"/>
      <c r="E1298" s="13" t="str">
        <f>IF(ISBLANK(D1298), "", VLOOKUP(D1298, Config!$F$6:$G$17, 2, FALSE()))</f>
        <v/>
      </c>
      <c r="F1298" s="16"/>
    </row>
    <row r="1299" ht="15.0" customHeight="1">
      <c r="A1299" s="12"/>
      <c r="B1299" s="13"/>
      <c r="C1299" s="8"/>
      <c r="D1299" s="8"/>
      <c r="E1299" s="13" t="str">
        <f>IF(ISBLANK(D1299), "", VLOOKUP(D1299, Config!$F$6:$G$17, 2, FALSE()))</f>
        <v/>
      </c>
      <c r="F1299" s="16"/>
    </row>
    <row r="1300" ht="15.0" customHeight="1">
      <c r="A1300" s="12"/>
      <c r="B1300" s="13"/>
      <c r="C1300" s="8"/>
      <c r="D1300" s="8"/>
      <c r="E1300" s="13" t="str">
        <f>IF(ISBLANK(D1300), "", VLOOKUP(D1300, Config!$F$6:$G$17, 2, FALSE()))</f>
        <v/>
      </c>
      <c r="F1300" s="16"/>
    </row>
    <row r="1301" ht="15.0" customHeight="1">
      <c r="A1301" s="12"/>
      <c r="B1301" s="13"/>
      <c r="C1301" s="8"/>
      <c r="D1301" s="8"/>
      <c r="E1301" s="13" t="str">
        <f>IF(ISBLANK(D1301), "", VLOOKUP(D1301, Config!$F$6:$G$17, 2, FALSE()))</f>
        <v/>
      </c>
      <c r="F1301" s="16"/>
    </row>
    <row r="1302" ht="15.0" customHeight="1">
      <c r="A1302" s="12"/>
      <c r="B1302" s="13"/>
      <c r="C1302" s="8"/>
      <c r="D1302" s="8"/>
      <c r="E1302" s="13" t="str">
        <f>IF(ISBLANK(D1302), "", VLOOKUP(D1302, Config!$F$6:$G$17, 2, FALSE()))</f>
        <v/>
      </c>
      <c r="F1302" s="16"/>
    </row>
    <row r="1303" ht="15.0" customHeight="1">
      <c r="A1303" s="12"/>
      <c r="B1303" s="13"/>
      <c r="C1303" s="8"/>
      <c r="D1303" s="8"/>
      <c r="E1303" s="13" t="str">
        <f>IF(ISBLANK(D1303), "", VLOOKUP(D1303, Config!$F$6:$G$17, 2, FALSE()))</f>
        <v/>
      </c>
      <c r="F1303" s="16"/>
    </row>
    <row r="1304" ht="15.0" customHeight="1">
      <c r="A1304" s="12"/>
      <c r="B1304" s="13"/>
      <c r="C1304" s="8"/>
      <c r="D1304" s="8"/>
      <c r="E1304" s="13" t="str">
        <f>IF(ISBLANK(D1304), "", VLOOKUP(D1304, Config!$F$6:$G$17, 2, FALSE()))</f>
        <v/>
      </c>
      <c r="F1304" s="16"/>
    </row>
    <row r="1305" ht="15.0" customHeight="1">
      <c r="A1305" s="12"/>
      <c r="B1305" s="13"/>
      <c r="C1305" s="8"/>
      <c r="D1305" s="8"/>
      <c r="E1305" s="13" t="str">
        <f>IF(ISBLANK(D1305), "", VLOOKUP(D1305, Config!$F$6:$G$17, 2, FALSE()))</f>
        <v/>
      </c>
      <c r="F1305" s="16"/>
    </row>
    <row r="1306" ht="15.0" customHeight="1">
      <c r="A1306" s="12"/>
      <c r="B1306" s="13"/>
      <c r="C1306" s="8"/>
      <c r="D1306" s="8"/>
      <c r="E1306" s="13" t="str">
        <f>IF(ISBLANK(D1306), "", VLOOKUP(D1306, Config!$F$6:$G$17, 2, FALSE()))</f>
        <v/>
      </c>
      <c r="F1306" s="16"/>
    </row>
    <row r="1307" ht="15.0" customHeight="1">
      <c r="A1307" s="12"/>
      <c r="B1307" s="13"/>
      <c r="C1307" s="8"/>
      <c r="D1307" s="8"/>
      <c r="E1307" s="13" t="str">
        <f>IF(ISBLANK(D1307), "", VLOOKUP(D1307, Config!$F$6:$G$17, 2, FALSE()))</f>
        <v/>
      </c>
      <c r="F1307" s="16"/>
    </row>
    <row r="1308" ht="15.0" customHeight="1">
      <c r="A1308" s="12"/>
      <c r="B1308" s="13"/>
      <c r="C1308" s="8"/>
      <c r="D1308" s="8"/>
      <c r="E1308" s="13" t="str">
        <f>IF(ISBLANK(D1308), "", VLOOKUP(D1308, Config!$F$6:$G$17, 2, FALSE()))</f>
        <v/>
      </c>
      <c r="F1308" s="16"/>
    </row>
    <row r="1309" ht="15.0" customHeight="1">
      <c r="A1309" s="12"/>
      <c r="B1309" s="13"/>
      <c r="C1309" s="8"/>
      <c r="D1309" s="8"/>
      <c r="E1309" s="13" t="str">
        <f>IF(ISBLANK(D1309), "", VLOOKUP(D1309, Config!$F$6:$G$17, 2, FALSE()))</f>
        <v/>
      </c>
      <c r="F1309" s="16"/>
    </row>
    <row r="1310" ht="15.0" customHeight="1">
      <c r="A1310" s="12"/>
      <c r="B1310" s="13"/>
      <c r="C1310" s="8"/>
      <c r="D1310" s="8"/>
      <c r="E1310" s="13" t="str">
        <f>IF(ISBLANK(D1310), "", VLOOKUP(D1310, Config!$F$6:$G$17, 2, FALSE()))</f>
        <v/>
      </c>
      <c r="F1310" s="16"/>
    </row>
    <row r="1311" ht="15.0" customHeight="1">
      <c r="A1311" s="12"/>
      <c r="B1311" s="13"/>
      <c r="C1311" s="8"/>
      <c r="D1311" s="8"/>
      <c r="E1311" s="13" t="str">
        <f>IF(ISBLANK(D1311), "", VLOOKUP(D1311, Config!$F$6:$G$17, 2, FALSE()))</f>
        <v/>
      </c>
      <c r="F1311" s="16"/>
    </row>
    <row r="1312" ht="15.0" customHeight="1">
      <c r="A1312" s="12"/>
      <c r="B1312" s="13"/>
      <c r="C1312" s="8"/>
      <c r="D1312" s="8"/>
      <c r="E1312" s="13" t="str">
        <f>IF(ISBLANK(D1312), "", VLOOKUP(D1312, Config!$F$6:$G$17, 2, FALSE()))</f>
        <v/>
      </c>
      <c r="F1312" s="16"/>
    </row>
    <row r="1313" ht="15.0" customHeight="1">
      <c r="A1313" s="12"/>
      <c r="B1313" s="13"/>
      <c r="C1313" s="8"/>
      <c r="D1313" s="8"/>
      <c r="E1313" s="13" t="str">
        <f>IF(ISBLANK(D1313), "", VLOOKUP(D1313, Config!$F$6:$G$17, 2, FALSE()))</f>
        <v/>
      </c>
      <c r="F1313" s="16"/>
    </row>
    <row r="1314" ht="15.0" customHeight="1">
      <c r="A1314" s="12"/>
      <c r="B1314" s="13"/>
      <c r="C1314" s="8"/>
      <c r="D1314" s="8"/>
      <c r="E1314" s="13" t="str">
        <f>IF(ISBLANK(D1314), "", VLOOKUP(D1314, Config!$F$6:$G$17, 2, FALSE()))</f>
        <v/>
      </c>
      <c r="F1314" s="16"/>
    </row>
    <row r="1315" ht="15.0" customHeight="1">
      <c r="A1315" s="12"/>
      <c r="B1315" s="13"/>
      <c r="C1315" s="8"/>
      <c r="D1315" s="8"/>
      <c r="E1315" s="13" t="str">
        <f>IF(ISBLANK(D1315), "", VLOOKUP(D1315, Config!$F$6:$G$17, 2, FALSE()))</f>
        <v/>
      </c>
      <c r="F1315" s="16"/>
    </row>
    <row r="1316" ht="15.0" customHeight="1">
      <c r="A1316" s="12"/>
      <c r="B1316" s="13"/>
      <c r="C1316" s="8"/>
      <c r="D1316" s="8"/>
      <c r="E1316" s="13" t="str">
        <f>IF(ISBLANK(D1316), "", VLOOKUP(D1316, Config!$F$6:$G$17, 2, FALSE()))</f>
        <v/>
      </c>
      <c r="F1316" s="16"/>
    </row>
    <row r="1317" ht="15.0" customHeight="1">
      <c r="A1317" s="12"/>
      <c r="B1317" s="13"/>
      <c r="C1317" s="8"/>
      <c r="D1317" s="8"/>
      <c r="E1317" s="13" t="str">
        <f>IF(ISBLANK(D1317), "", VLOOKUP(D1317, Config!$F$6:$G$17, 2, FALSE()))</f>
        <v/>
      </c>
      <c r="F1317" s="16"/>
    </row>
    <row r="1318" ht="15.0" customHeight="1">
      <c r="A1318" s="12"/>
      <c r="B1318" s="13"/>
      <c r="C1318" s="8"/>
      <c r="D1318" s="8"/>
      <c r="E1318" s="13" t="str">
        <f>IF(ISBLANK(D1318), "", VLOOKUP(D1318, Config!$F$6:$G$17, 2, FALSE()))</f>
        <v/>
      </c>
      <c r="F1318" s="16"/>
    </row>
    <row r="1319" ht="15.0" customHeight="1">
      <c r="A1319" s="12"/>
      <c r="B1319" s="13"/>
      <c r="C1319" s="8"/>
      <c r="D1319" s="8"/>
      <c r="E1319" s="13" t="str">
        <f>IF(ISBLANK(D1319), "", VLOOKUP(D1319, Config!$F$6:$G$17, 2, FALSE()))</f>
        <v/>
      </c>
      <c r="F1319" s="16"/>
    </row>
    <row r="1320" ht="15.0" customHeight="1">
      <c r="A1320" s="12"/>
      <c r="B1320" s="13"/>
      <c r="C1320" s="8"/>
      <c r="D1320" s="8"/>
      <c r="E1320" s="13" t="str">
        <f>IF(ISBLANK(D1320), "", VLOOKUP(D1320, Config!$F$6:$G$17, 2, FALSE()))</f>
        <v/>
      </c>
      <c r="F1320" s="16"/>
    </row>
    <row r="1321" ht="15.0" customHeight="1">
      <c r="A1321" s="12"/>
      <c r="B1321" s="13"/>
      <c r="C1321" s="8"/>
      <c r="D1321" s="8"/>
      <c r="E1321" s="13" t="str">
        <f>IF(ISBLANK(D1321), "", VLOOKUP(D1321, Config!$F$6:$G$17, 2, FALSE()))</f>
        <v/>
      </c>
      <c r="F1321" s="16"/>
    </row>
    <row r="1322" ht="15.0" customHeight="1">
      <c r="A1322" s="12"/>
      <c r="B1322" s="13"/>
      <c r="C1322" s="8"/>
      <c r="D1322" s="8"/>
      <c r="E1322" s="13" t="str">
        <f>IF(ISBLANK(D1322), "", VLOOKUP(D1322, Config!$F$6:$G$17, 2, FALSE()))</f>
        <v/>
      </c>
      <c r="F1322" s="16"/>
    </row>
    <row r="1323" ht="15.0" customHeight="1">
      <c r="A1323" s="12"/>
      <c r="B1323" s="13"/>
      <c r="C1323" s="8"/>
      <c r="D1323" s="8"/>
      <c r="E1323" s="13" t="str">
        <f>IF(ISBLANK(D1323), "", VLOOKUP(D1323, Config!$F$6:$G$17, 2, FALSE()))</f>
        <v/>
      </c>
      <c r="F1323" s="16"/>
    </row>
    <row r="1324" ht="15.0" customHeight="1">
      <c r="A1324" s="12"/>
      <c r="B1324" s="13"/>
      <c r="C1324" s="8"/>
      <c r="D1324" s="8"/>
      <c r="E1324" s="13" t="str">
        <f>IF(ISBLANK(D1324), "", VLOOKUP(D1324, Config!$F$6:$G$17, 2, FALSE()))</f>
        <v/>
      </c>
      <c r="F1324" s="16"/>
    </row>
    <row r="1325" ht="15.0" customHeight="1">
      <c r="A1325" s="12"/>
      <c r="B1325" s="13"/>
      <c r="C1325" s="8"/>
      <c r="D1325" s="8"/>
      <c r="E1325" s="13" t="str">
        <f>IF(ISBLANK(D1325), "", VLOOKUP(D1325, Config!$F$6:$G$17, 2, FALSE()))</f>
        <v/>
      </c>
      <c r="F1325" s="16"/>
    </row>
    <row r="1326" ht="15.0" customHeight="1">
      <c r="A1326" s="12"/>
      <c r="B1326" s="13"/>
      <c r="C1326" s="8"/>
      <c r="D1326" s="8"/>
      <c r="E1326" s="13" t="str">
        <f>IF(ISBLANK(D1326), "", VLOOKUP(D1326, Config!$F$6:$G$17, 2, FALSE()))</f>
        <v/>
      </c>
      <c r="F1326" s="16"/>
    </row>
    <row r="1327" ht="15.0" customHeight="1">
      <c r="A1327" s="12"/>
      <c r="B1327" s="13"/>
      <c r="C1327" s="8"/>
      <c r="D1327" s="8"/>
      <c r="E1327" s="13" t="str">
        <f>IF(ISBLANK(D1327), "", VLOOKUP(D1327, Config!$F$6:$G$17, 2, FALSE()))</f>
        <v/>
      </c>
      <c r="F1327" s="16"/>
    </row>
    <row r="1328" ht="15.0" customHeight="1">
      <c r="A1328" s="12"/>
      <c r="B1328" s="13"/>
      <c r="C1328" s="8"/>
      <c r="D1328" s="8"/>
      <c r="E1328" s="13" t="str">
        <f>IF(ISBLANK(D1328), "", VLOOKUP(D1328, Config!$F$6:$G$17, 2, FALSE()))</f>
        <v/>
      </c>
      <c r="F1328" s="16"/>
    </row>
    <row r="1329" ht="15.0" customHeight="1">
      <c r="A1329" s="12"/>
      <c r="B1329" s="13"/>
      <c r="C1329" s="8"/>
      <c r="D1329" s="8"/>
      <c r="E1329" s="13" t="str">
        <f>IF(ISBLANK(D1329), "", VLOOKUP(D1329, Config!$F$6:$G$17, 2, FALSE()))</f>
        <v/>
      </c>
      <c r="F1329" s="16"/>
    </row>
    <row r="1330" ht="15.0" customHeight="1">
      <c r="A1330" s="12"/>
      <c r="B1330" s="13"/>
      <c r="C1330" s="8"/>
      <c r="D1330" s="8"/>
      <c r="E1330" s="13" t="str">
        <f>IF(ISBLANK(D1330), "", VLOOKUP(D1330, Config!$F$6:$G$17, 2, FALSE()))</f>
        <v/>
      </c>
      <c r="F1330" s="16"/>
    </row>
    <row r="1331" ht="15.0" customHeight="1">
      <c r="A1331" s="12"/>
      <c r="B1331" s="13"/>
      <c r="C1331" s="8"/>
      <c r="D1331" s="8"/>
      <c r="E1331" s="13" t="str">
        <f>IF(ISBLANK(D1331), "", VLOOKUP(D1331, Config!$F$6:$G$17, 2, FALSE()))</f>
        <v/>
      </c>
      <c r="F1331" s="16"/>
    </row>
    <row r="1332" ht="15.0" customHeight="1">
      <c r="A1332" s="12"/>
      <c r="B1332" s="13"/>
      <c r="C1332" s="8"/>
      <c r="D1332" s="8"/>
      <c r="E1332" s="13" t="str">
        <f>IF(ISBLANK(D1332), "", VLOOKUP(D1332, Config!$F$6:$G$17, 2, FALSE()))</f>
        <v/>
      </c>
      <c r="F1332" s="16"/>
    </row>
    <row r="1333" ht="15.0" customHeight="1">
      <c r="A1333" s="12"/>
      <c r="B1333" s="13"/>
      <c r="C1333" s="8"/>
      <c r="D1333" s="8"/>
      <c r="E1333" s="13" t="str">
        <f>IF(ISBLANK(D1333), "", VLOOKUP(D1333, Config!$F$6:$G$17, 2, FALSE()))</f>
        <v/>
      </c>
      <c r="F1333" s="16"/>
    </row>
    <row r="1334" ht="15.0" customHeight="1">
      <c r="A1334" s="12"/>
      <c r="B1334" s="13"/>
      <c r="C1334" s="8"/>
      <c r="D1334" s="8"/>
      <c r="E1334" s="13" t="str">
        <f>IF(ISBLANK(D1334), "", VLOOKUP(D1334, Config!$F$6:$G$17, 2, FALSE()))</f>
        <v/>
      </c>
      <c r="F1334" s="16"/>
    </row>
    <row r="1335" ht="15.0" customHeight="1">
      <c r="A1335" s="12"/>
      <c r="B1335" s="13"/>
      <c r="C1335" s="8"/>
      <c r="D1335" s="8"/>
      <c r="E1335" s="13" t="str">
        <f>IF(ISBLANK(D1335), "", VLOOKUP(D1335, Config!$F$6:$G$17, 2, FALSE()))</f>
        <v/>
      </c>
      <c r="F1335" s="16"/>
    </row>
    <row r="1336" ht="15.0" customHeight="1">
      <c r="A1336" s="12"/>
      <c r="B1336" s="13"/>
      <c r="C1336" s="8"/>
      <c r="D1336" s="8"/>
      <c r="E1336" s="13" t="str">
        <f>IF(ISBLANK(D1336), "", VLOOKUP(D1336, Config!$F$6:$G$17, 2, FALSE()))</f>
        <v/>
      </c>
      <c r="F1336" s="16"/>
    </row>
    <row r="1337" ht="15.0" customHeight="1">
      <c r="A1337" s="12"/>
      <c r="B1337" s="13"/>
      <c r="C1337" s="8"/>
      <c r="D1337" s="8"/>
      <c r="E1337" s="13" t="str">
        <f>IF(ISBLANK(D1337), "", VLOOKUP(D1337, Config!$F$6:$G$17, 2, FALSE()))</f>
        <v/>
      </c>
      <c r="F1337" s="16"/>
    </row>
    <row r="1338" ht="15.0" customHeight="1">
      <c r="A1338" s="12"/>
      <c r="B1338" s="13"/>
      <c r="C1338" s="8"/>
      <c r="D1338" s="8"/>
      <c r="E1338" s="13" t="str">
        <f>IF(ISBLANK(D1338), "", VLOOKUP(D1338, Config!$F$6:$G$17, 2, FALSE()))</f>
        <v/>
      </c>
      <c r="F1338" s="16"/>
    </row>
    <row r="1339" ht="15.0" customHeight="1">
      <c r="A1339" s="12"/>
      <c r="B1339" s="13"/>
      <c r="C1339" s="8"/>
      <c r="D1339" s="8"/>
      <c r="E1339" s="13" t="str">
        <f>IF(ISBLANK(D1339), "", VLOOKUP(D1339, Config!$F$6:$G$17, 2, FALSE()))</f>
        <v/>
      </c>
      <c r="F1339" s="16"/>
    </row>
    <row r="1340" ht="15.0" customHeight="1">
      <c r="A1340" s="12"/>
      <c r="B1340" s="13"/>
      <c r="C1340" s="8"/>
      <c r="D1340" s="8"/>
      <c r="E1340" s="13" t="str">
        <f>IF(ISBLANK(D1340), "", VLOOKUP(D1340, Config!$F$6:$G$17, 2, FALSE()))</f>
        <v/>
      </c>
      <c r="F1340" s="16"/>
    </row>
    <row r="1341" ht="15.0" customHeight="1">
      <c r="A1341" s="12"/>
      <c r="B1341" s="13"/>
      <c r="C1341" s="8"/>
      <c r="D1341" s="8"/>
      <c r="E1341" s="13" t="str">
        <f>IF(ISBLANK(D1341), "", VLOOKUP(D1341, Config!$F$6:$G$17, 2, FALSE()))</f>
        <v/>
      </c>
      <c r="F1341" s="16"/>
    </row>
    <row r="1342" ht="15.0" customHeight="1">
      <c r="A1342" s="12"/>
      <c r="B1342" s="13"/>
      <c r="C1342" s="8"/>
      <c r="D1342" s="8"/>
      <c r="E1342" s="13" t="str">
        <f>IF(ISBLANK(D1342), "", VLOOKUP(D1342, Config!$F$6:$G$17, 2, FALSE()))</f>
        <v/>
      </c>
      <c r="F1342" s="16"/>
    </row>
    <row r="1343" ht="15.0" customHeight="1">
      <c r="A1343" s="12"/>
      <c r="B1343" s="13"/>
      <c r="C1343" s="8"/>
      <c r="D1343" s="8"/>
      <c r="E1343" s="13" t="str">
        <f>IF(ISBLANK(D1343), "", VLOOKUP(D1343, Config!$F$6:$G$17, 2, FALSE()))</f>
        <v/>
      </c>
      <c r="F1343" s="16"/>
    </row>
    <row r="1344" ht="15.0" customHeight="1">
      <c r="A1344" s="12"/>
      <c r="B1344" s="13"/>
      <c r="C1344" s="8"/>
      <c r="D1344" s="8"/>
      <c r="E1344" s="13" t="str">
        <f>IF(ISBLANK(D1344), "", VLOOKUP(D1344, Config!$F$6:$G$17, 2, FALSE()))</f>
        <v/>
      </c>
      <c r="F1344" s="16"/>
    </row>
    <row r="1345" ht="15.0" customHeight="1">
      <c r="A1345" s="12"/>
      <c r="B1345" s="13"/>
      <c r="C1345" s="8"/>
      <c r="D1345" s="8"/>
      <c r="E1345" s="13" t="str">
        <f>IF(ISBLANK(D1345), "", VLOOKUP(D1345, Config!$F$6:$G$17, 2, FALSE()))</f>
        <v/>
      </c>
      <c r="F1345" s="16"/>
    </row>
    <row r="1346" ht="15.0" customHeight="1">
      <c r="A1346" s="12"/>
      <c r="B1346" s="13"/>
      <c r="C1346" s="8"/>
      <c r="D1346" s="8"/>
      <c r="E1346" s="13" t="str">
        <f>IF(ISBLANK(D1346), "", VLOOKUP(D1346, Config!$F$6:$G$17, 2, FALSE()))</f>
        <v/>
      </c>
      <c r="F1346" s="16"/>
    </row>
    <row r="1347" ht="15.0" customHeight="1">
      <c r="A1347" s="12"/>
      <c r="B1347" s="13"/>
      <c r="C1347" s="8"/>
      <c r="D1347" s="8"/>
      <c r="E1347" s="13" t="str">
        <f>IF(ISBLANK(D1347), "", VLOOKUP(D1347, Config!$F$6:$G$17, 2, FALSE()))</f>
        <v/>
      </c>
      <c r="F1347" s="16"/>
    </row>
    <row r="1348" ht="15.0" customHeight="1">
      <c r="A1348" s="12"/>
      <c r="B1348" s="13"/>
      <c r="C1348" s="8"/>
      <c r="D1348" s="8"/>
      <c r="E1348" s="13" t="str">
        <f>IF(ISBLANK(D1348), "", VLOOKUP(D1348, Config!$F$6:$G$17, 2, FALSE()))</f>
        <v/>
      </c>
      <c r="F1348" s="16"/>
    </row>
    <row r="1349" ht="15.0" customHeight="1">
      <c r="A1349" s="12"/>
      <c r="B1349" s="13"/>
      <c r="C1349" s="8"/>
      <c r="D1349" s="8"/>
      <c r="E1349" s="13" t="str">
        <f>IF(ISBLANK(D1349), "", VLOOKUP(D1349, Config!$F$6:$G$17, 2, FALSE()))</f>
        <v/>
      </c>
      <c r="F1349" s="16"/>
    </row>
    <row r="1350" ht="15.0" customHeight="1">
      <c r="A1350" s="12"/>
      <c r="B1350" s="13"/>
      <c r="C1350" s="8"/>
      <c r="D1350" s="8"/>
      <c r="E1350" s="13" t="str">
        <f>IF(ISBLANK(D1350), "", VLOOKUP(D1350, Config!$F$6:$G$17, 2, FALSE()))</f>
        <v/>
      </c>
      <c r="F1350" s="16"/>
    </row>
    <row r="1351" ht="15.0" customHeight="1">
      <c r="A1351" s="12"/>
      <c r="B1351" s="13"/>
      <c r="C1351" s="8"/>
      <c r="D1351" s="8"/>
      <c r="E1351" s="13" t="str">
        <f>IF(ISBLANK(D1351), "", VLOOKUP(D1351, Config!$F$6:$G$17, 2, FALSE()))</f>
        <v/>
      </c>
      <c r="F1351" s="16"/>
    </row>
    <row r="1352" ht="15.0" customHeight="1">
      <c r="A1352" s="12"/>
      <c r="B1352" s="13"/>
      <c r="C1352" s="8"/>
      <c r="D1352" s="8"/>
      <c r="E1352" s="13" t="str">
        <f>IF(ISBLANK(D1352), "", VLOOKUP(D1352, Config!$F$6:$G$17, 2, FALSE()))</f>
        <v/>
      </c>
      <c r="F1352" s="16"/>
    </row>
    <row r="1353" ht="15.0" customHeight="1">
      <c r="A1353" s="12"/>
      <c r="B1353" s="13"/>
      <c r="C1353" s="8"/>
      <c r="D1353" s="8"/>
      <c r="E1353" s="13" t="str">
        <f>IF(ISBLANK(D1353), "", VLOOKUP(D1353, Config!$F$6:$G$17, 2, FALSE()))</f>
        <v/>
      </c>
      <c r="F1353" s="16"/>
    </row>
    <row r="1354" ht="15.0" customHeight="1">
      <c r="A1354" s="12"/>
      <c r="B1354" s="13"/>
      <c r="C1354" s="8"/>
      <c r="D1354" s="8"/>
      <c r="E1354" s="13" t="str">
        <f>IF(ISBLANK(D1354), "", VLOOKUP(D1354, Config!$F$6:$G$17, 2, FALSE()))</f>
        <v/>
      </c>
      <c r="F1354" s="16"/>
    </row>
    <row r="1355" ht="15.0" customHeight="1">
      <c r="A1355" s="12"/>
      <c r="B1355" s="13"/>
      <c r="C1355" s="8"/>
      <c r="D1355" s="8"/>
      <c r="E1355" s="13" t="str">
        <f>IF(ISBLANK(D1355), "", VLOOKUP(D1355, Config!$F$6:$G$17, 2, FALSE()))</f>
        <v/>
      </c>
      <c r="F1355" s="16"/>
    </row>
    <row r="1356" ht="15.0" customHeight="1">
      <c r="A1356" s="12"/>
      <c r="B1356" s="13"/>
      <c r="C1356" s="8"/>
      <c r="D1356" s="8"/>
      <c r="E1356" s="13" t="str">
        <f>IF(ISBLANK(D1356), "", VLOOKUP(D1356, Config!$F$6:$G$17, 2, FALSE()))</f>
        <v/>
      </c>
      <c r="F1356" s="16"/>
    </row>
    <row r="1357" ht="15.0" customHeight="1">
      <c r="A1357" s="12"/>
      <c r="B1357" s="13"/>
      <c r="C1357" s="8"/>
      <c r="D1357" s="8"/>
      <c r="E1357" s="13" t="str">
        <f>IF(ISBLANK(D1357), "", VLOOKUP(D1357, Config!$F$6:$G$17, 2, FALSE()))</f>
        <v/>
      </c>
      <c r="F1357" s="16"/>
    </row>
    <row r="1358" ht="15.0" customHeight="1">
      <c r="A1358" s="12"/>
      <c r="B1358" s="13"/>
      <c r="C1358" s="8"/>
      <c r="D1358" s="8"/>
      <c r="E1358" s="13" t="str">
        <f>IF(ISBLANK(D1358), "", VLOOKUP(D1358, Config!$F$6:$G$17, 2, FALSE()))</f>
        <v/>
      </c>
      <c r="F1358" s="16"/>
    </row>
    <row r="1359" ht="15.0" customHeight="1">
      <c r="A1359" s="12"/>
      <c r="B1359" s="13"/>
      <c r="C1359" s="8"/>
      <c r="D1359" s="8"/>
      <c r="E1359" s="13" t="str">
        <f>IF(ISBLANK(D1359), "", VLOOKUP(D1359, Config!$F$6:$G$17, 2, FALSE()))</f>
        <v/>
      </c>
      <c r="F1359" s="16"/>
    </row>
    <row r="1360" ht="15.0" customHeight="1">
      <c r="A1360" s="12"/>
      <c r="B1360" s="13"/>
      <c r="C1360" s="8"/>
      <c r="D1360" s="8"/>
      <c r="E1360" s="13" t="str">
        <f>IF(ISBLANK(D1360), "", VLOOKUP(D1360, Config!$F$6:$G$17, 2, FALSE()))</f>
        <v/>
      </c>
      <c r="F1360" s="16"/>
    </row>
    <row r="1361" ht="15.0" customHeight="1">
      <c r="A1361" s="12"/>
      <c r="B1361" s="13"/>
      <c r="C1361" s="8"/>
      <c r="D1361" s="8"/>
      <c r="E1361" s="13" t="str">
        <f>IF(ISBLANK(D1361), "", VLOOKUP(D1361, Config!$F$6:$G$17, 2, FALSE()))</f>
        <v/>
      </c>
      <c r="F1361" s="16"/>
    </row>
    <row r="1362" ht="15.0" customHeight="1">
      <c r="A1362" s="12"/>
      <c r="B1362" s="13"/>
      <c r="C1362" s="8"/>
      <c r="D1362" s="8"/>
      <c r="E1362" s="13" t="str">
        <f>IF(ISBLANK(D1362), "", VLOOKUP(D1362, Config!$F$6:$G$17, 2, FALSE()))</f>
        <v/>
      </c>
      <c r="F1362" s="16"/>
    </row>
    <row r="1363" ht="15.0" customHeight="1">
      <c r="A1363" s="12"/>
      <c r="B1363" s="13"/>
      <c r="C1363" s="8"/>
      <c r="D1363" s="8"/>
      <c r="E1363" s="13" t="str">
        <f>IF(ISBLANK(D1363), "", VLOOKUP(D1363, Config!$F$6:$G$17, 2, FALSE()))</f>
        <v/>
      </c>
      <c r="F1363" s="16"/>
    </row>
    <row r="1364" ht="15.0" customHeight="1">
      <c r="A1364" s="12"/>
      <c r="B1364" s="13"/>
      <c r="C1364" s="8"/>
      <c r="D1364" s="8"/>
      <c r="E1364" s="13" t="str">
        <f>IF(ISBLANK(D1364), "", VLOOKUP(D1364, Config!$F$6:$G$17, 2, FALSE()))</f>
        <v/>
      </c>
      <c r="F1364" s="16"/>
    </row>
    <row r="1365" ht="15.0" customHeight="1">
      <c r="A1365" s="12"/>
      <c r="B1365" s="13"/>
      <c r="C1365" s="8"/>
      <c r="D1365" s="8"/>
      <c r="E1365" s="13" t="str">
        <f>IF(ISBLANK(D1365), "", VLOOKUP(D1365, Config!$F$6:$G$17, 2, FALSE()))</f>
        <v/>
      </c>
      <c r="F1365" s="16"/>
    </row>
    <row r="1366" ht="15.0" customHeight="1">
      <c r="A1366" s="12"/>
      <c r="B1366" s="13"/>
      <c r="C1366" s="8"/>
      <c r="D1366" s="8"/>
      <c r="E1366" s="13" t="str">
        <f>IF(ISBLANK(D1366), "", VLOOKUP(D1366, Config!$F$6:$G$17, 2, FALSE()))</f>
        <v/>
      </c>
      <c r="F1366" s="16"/>
    </row>
    <row r="1367" ht="15.0" customHeight="1">
      <c r="A1367" s="12"/>
      <c r="B1367" s="13"/>
      <c r="C1367" s="8"/>
      <c r="D1367" s="8"/>
      <c r="E1367" s="13" t="str">
        <f>IF(ISBLANK(D1367), "", VLOOKUP(D1367, Config!$F$6:$G$17, 2, FALSE()))</f>
        <v/>
      </c>
      <c r="F1367" s="16"/>
    </row>
    <row r="1368" ht="15.0" customHeight="1">
      <c r="A1368" s="12"/>
      <c r="B1368" s="13"/>
      <c r="C1368" s="8"/>
      <c r="D1368" s="8"/>
      <c r="E1368" s="13" t="str">
        <f>IF(ISBLANK(D1368), "", VLOOKUP(D1368, Config!$F$6:$G$17, 2, FALSE()))</f>
        <v/>
      </c>
      <c r="F1368" s="16"/>
    </row>
    <row r="1369" ht="15.0" customHeight="1">
      <c r="A1369" s="12"/>
      <c r="B1369" s="13"/>
      <c r="C1369" s="8"/>
      <c r="D1369" s="8"/>
      <c r="E1369" s="13" t="str">
        <f>IF(ISBLANK(D1369), "", VLOOKUP(D1369, Config!$F$6:$G$17, 2, FALSE()))</f>
        <v/>
      </c>
      <c r="F1369" s="16"/>
    </row>
    <row r="1370" ht="15.0" customHeight="1">
      <c r="A1370" s="12"/>
      <c r="B1370" s="13"/>
      <c r="C1370" s="8"/>
      <c r="D1370" s="8"/>
      <c r="E1370" s="13" t="str">
        <f>IF(ISBLANK(D1370), "", VLOOKUP(D1370, Config!$F$6:$G$17, 2, FALSE()))</f>
        <v/>
      </c>
      <c r="F1370" s="16"/>
    </row>
    <row r="1371" ht="15.0" customHeight="1">
      <c r="A1371" s="12"/>
      <c r="B1371" s="13"/>
      <c r="C1371" s="8"/>
      <c r="D1371" s="8"/>
      <c r="E1371" s="13" t="str">
        <f>IF(ISBLANK(D1371), "", VLOOKUP(D1371, Config!$F$6:$G$17, 2, FALSE()))</f>
        <v/>
      </c>
      <c r="F1371" s="16"/>
    </row>
    <row r="1372" ht="15.0" customHeight="1">
      <c r="A1372" s="12"/>
      <c r="B1372" s="13"/>
      <c r="C1372" s="8"/>
      <c r="D1372" s="8"/>
      <c r="E1372" s="13" t="str">
        <f>IF(ISBLANK(D1372), "", VLOOKUP(D1372, Config!$F$6:$G$17, 2, FALSE()))</f>
        <v/>
      </c>
      <c r="F1372" s="16"/>
    </row>
    <row r="1373" ht="15.0" customHeight="1">
      <c r="A1373" s="12"/>
      <c r="B1373" s="13"/>
      <c r="C1373" s="8"/>
      <c r="D1373" s="8"/>
      <c r="E1373" s="13" t="str">
        <f>IF(ISBLANK(D1373), "", VLOOKUP(D1373, Config!$F$6:$G$17, 2, FALSE()))</f>
        <v/>
      </c>
      <c r="F1373" s="16"/>
    </row>
    <row r="1374" ht="15.0" customHeight="1">
      <c r="A1374" s="12"/>
      <c r="B1374" s="13"/>
      <c r="C1374" s="8"/>
      <c r="D1374" s="8"/>
      <c r="E1374" s="13" t="str">
        <f>IF(ISBLANK(D1374), "", VLOOKUP(D1374, Config!$F$6:$G$17, 2, FALSE()))</f>
        <v/>
      </c>
      <c r="F1374" s="16"/>
    </row>
    <row r="1375" ht="15.0" customHeight="1">
      <c r="A1375" s="12"/>
      <c r="B1375" s="13"/>
      <c r="C1375" s="8"/>
      <c r="D1375" s="8"/>
      <c r="E1375" s="13" t="str">
        <f>IF(ISBLANK(D1375), "", VLOOKUP(D1375, Config!$F$6:$G$17, 2, FALSE()))</f>
        <v/>
      </c>
      <c r="F1375" s="16"/>
    </row>
    <row r="1376" ht="15.0" customHeight="1">
      <c r="A1376" s="12"/>
      <c r="B1376" s="13"/>
      <c r="C1376" s="8"/>
      <c r="D1376" s="8"/>
      <c r="E1376" s="13" t="str">
        <f>IF(ISBLANK(D1376), "", VLOOKUP(D1376, Config!$F$6:$G$17, 2, FALSE()))</f>
        <v/>
      </c>
      <c r="F1376" s="16"/>
    </row>
    <row r="1377" ht="15.0" customHeight="1">
      <c r="A1377" s="12"/>
      <c r="B1377" s="13"/>
      <c r="C1377" s="8"/>
      <c r="D1377" s="8"/>
      <c r="E1377" s="13" t="str">
        <f>IF(ISBLANK(D1377), "", VLOOKUP(D1377, Config!$F$6:$G$17, 2, FALSE()))</f>
        <v/>
      </c>
      <c r="F1377" s="16"/>
    </row>
    <row r="1378" ht="15.0" customHeight="1">
      <c r="A1378" s="12"/>
      <c r="B1378" s="13"/>
      <c r="C1378" s="8"/>
      <c r="D1378" s="8"/>
      <c r="E1378" s="13" t="str">
        <f>IF(ISBLANK(D1378), "", VLOOKUP(D1378, Config!$F$6:$G$17, 2, FALSE()))</f>
        <v/>
      </c>
      <c r="F1378" s="16"/>
    </row>
    <row r="1379" ht="15.0" customHeight="1">
      <c r="A1379" s="12"/>
      <c r="B1379" s="13"/>
      <c r="C1379" s="8"/>
      <c r="D1379" s="8"/>
      <c r="E1379" s="13" t="str">
        <f>IF(ISBLANK(D1379), "", VLOOKUP(D1379, Config!$F$6:$G$17, 2, FALSE()))</f>
        <v/>
      </c>
      <c r="F1379" s="16"/>
    </row>
    <row r="1380" ht="15.0" customHeight="1">
      <c r="A1380" s="12"/>
      <c r="B1380" s="13"/>
      <c r="C1380" s="8"/>
      <c r="D1380" s="8"/>
      <c r="E1380" s="13" t="str">
        <f>IF(ISBLANK(D1380), "", VLOOKUP(D1380, Config!$F$6:$G$17, 2, FALSE()))</f>
        <v/>
      </c>
      <c r="F1380" s="16"/>
    </row>
    <row r="1381" ht="15.0" customHeight="1">
      <c r="A1381" s="12"/>
      <c r="B1381" s="13"/>
      <c r="C1381" s="8"/>
      <c r="D1381" s="8"/>
      <c r="E1381" s="13" t="str">
        <f>IF(ISBLANK(D1381), "", VLOOKUP(D1381, Config!$F$6:$G$17, 2, FALSE()))</f>
        <v/>
      </c>
      <c r="F1381" s="16"/>
    </row>
    <row r="1382" ht="15.0" customHeight="1">
      <c r="A1382" s="12"/>
      <c r="B1382" s="13"/>
      <c r="C1382" s="8"/>
      <c r="D1382" s="8"/>
      <c r="E1382" s="13" t="str">
        <f>IF(ISBLANK(D1382), "", VLOOKUP(D1382, Config!$F$6:$G$17, 2, FALSE()))</f>
        <v/>
      </c>
      <c r="F1382" s="16"/>
    </row>
    <row r="1383" ht="15.0" customHeight="1">
      <c r="A1383" s="12"/>
      <c r="B1383" s="13"/>
      <c r="C1383" s="8"/>
      <c r="D1383" s="8"/>
      <c r="E1383" s="13" t="str">
        <f>IF(ISBLANK(D1383), "", VLOOKUP(D1383, Config!$F$6:$G$17, 2, FALSE()))</f>
        <v/>
      </c>
      <c r="F1383" s="16"/>
    </row>
    <row r="1384" ht="15.0" customHeight="1">
      <c r="A1384" s="12"/>
      <c r="B1384" s="13"/>
      <c r="C1384" s="8"/>
      <c r="D1384" s="8"/>
      <c r="E1384" s="13" t="str">
        <f>IF(ISBLANK(D1384), "", VLOOKUP(D1384, Config!$F$6:$G$17, 2, FALSE()))</f>
        <v/>
      </c>
      <c r="F1384" s="16"/>
    </row>
    <row r="1385" ht="15.0" customHeight="1">
      <c r="A1385" s="12"/>
      <c r="B1385" s="13"/>
      <c r="C1385" s="8"/>
      <c r="D1385" s="8"/>
      <c r="E1385" s="13" t="str">
        <f>IF(ISBLANK(D1385), "", VLOOKUP(D1385, Config!$F$6:$G$17, 2, FALSE()))</f>
        <v/>
      </c>
      <c r="F1385" s="16"/>
    </row>
    <row r="1386" ht="15.0" customHeight="1">
      <c r="A1386" s="12"/>
      <c r="B1386" s="13"/>
      <c r="C1386" s="8"/>
      <c r="D1386" s="8"/>
      <c r="E1386" s="13" t="str">
        <f>IF(ISBLANK(D1386), "", VLOOKUP(D1386, Config!$F$6:$G$17, 2, FALSE()))</f>
        <v/>
      </c>
      <c r="F1386" s="16"/>
    </row>
    <row r="1387" ht="15.0" customHeight="1">
      <c r="A1387" s="12"/>
      <c r="B1387" s="13"/>
      <c r="C1387" s="8"/>
      <c r="D1387" s="8"/>
      <c r="E1387" s="13" t="str">
        <f>IF(ISBLANK(D1387), "", VLOOKUP(D1387, Config!$F$6:$G$17, 2, FALSE()))</f>
        <v/>
      </c>
      <c r="F1387" s="16"/>
    </row>
    <row r="1388" ht="15.0" customHeight="1">
      <c r="A1388" s="12"/>
      <c r="B1388" s="13"/>
      <c r="C1388" s="8"/>
      <c r="D1388" s="8"/>
      <c r="E1388" s="13" t="str">
        <f>IF(ISBLANK(D1388), "", VLOOKUP(D1388, Config!$F$6:$G$17, 2, FALSE()))</f>
        <v/>
      </c>
      <c r="F1388" s="16"/>
    </row>
    <row r="1389" ht="15.0" customHeight="1">
      <c r="A1389" s="12"/>
      <c r="B1389" s="13"/>
      <c r="C1389" s="8"/>
      <c r="D1389" s="8"/>
      <c r="E1389" s="13" t="str">
        <f>IF(ISBLANK(D1389), "", VLOOKUP(D1389, Config!$F$6:$G$17, 2, FALSE()))</f>
        <v/>
      </c>
      <c r="F1389" s="16"/>
    </row>
    <row r="1390" ht="15.0" customHeight="1">
      <c r="A1390" s="12"/>
      <c r="B1390" s="13"/>
      <c r="C1390" s="8"/>
      <c r="D1390" s="8"/>
      <c r="E1390" s="13" t="str">
        <f>IF(ISBLANK(D1390), "", VLOOKUP(D1390, Config!$F$6:$G$17, 2, FALSE()))</f>
        <v/>
      </c>
      <c r="F1390" s="16"/>
    </row>
    <row r="1391" ht="15.0" customHeight="1">
      <c r="A1391" s="12"/>
      <c r="B1391" s="13"/>
      <c r="C1391" s="8"/>
      <c r="D1391" s="8"/>
      <c r="E1391" s="13" t="str">
        <f>IF(ISBLANK(D1391), "", VLOOKUP(D1391, Config!$F$6:$G$17, 2, FALSE()))</f>
        <v/>
      </c>
      <c r="F1391" s="16"/>
    </row>
    <row r="1392" ht="15.0" customHeight="1">
      <c r="A1392" s="12"/>
      <c r="B1392" s="13"/>
      <c r="C1392" s="8"/>
      <c r="D1392" s="8"/>
      <c r="E1392" s="13" t="str">
        <f>IF(ISBLANK(D1392), "", VLOOKUP(D1392, Config!$F$6:$G$17, 2, FALSE()))</f>
        <v/>
      </c>
      <c r="F1392" s="16"/>
    </row>
    <row r="1393" ht="15.0" customHeight="1">
      <c r="A1393" s="12"/>
      <c r="B1393" s="13"/>
      <c r="C1393" s="8"/>
      <c r="D1393" s="8"/>
      <c r="E1393" s="13" t="str">
        <f>IF(ISBLANK(D1393), "", VLOOKUP(D1393, Config!$F$6:$G$17, 2, FALSE()))</f>
        <v/>
      </c>
      <c r="F1393" s="16"/>
    </row>
    <row r="1394" ht="15.0" customHeight="1">
      <c r="A1394" s="12"/>
      <c r="B1394" s="13"/>
      <c r="C1394" s="8"/>
      <c r="D1394" s="8"/>
      <c r="E1394" s="13" t="str">
        <f>IF(ISBLANK(D1394), "", VLOOKUP(D1394, Config!$F$6:$G$17, 2, FALSE()))</f>
        <v/>
      </c>
      <c r="F1394" s="16"/>
    </row>
    <row r="1395" ht="15.0" customHeight="1">
      <c r="A1395" s="12"/>
      <c r="B1395" s="13"/>
      <c r="C1395" s="8"/>
      <c r="D1395" s="8"/>
      <c r="E1395" s="13" t="str">
        <f>IF(ISBLANK(D1395), "", VLOOKUP(D1395, Config!$F$6:$G$17, 2, FALSE()))</f>
        <v/>
      </c>
      <c r="F1395" s="16"/>
    </row>
    <row r="1396" ht="15.0" customHeight="1">
      <c r="A1396" s="12"/>
      <c r="B1396" s="13"/>
      <c r="C1396" s="8"/>
      <c r="D1396" s="8"/>
      <c r="E1396" s="13" t="str">
        <f>IF(ISBLANK(D1396), "", VLOOKUP(D1396, Config!$F$6:$G$17, 2, FALSE()))</f>
        <v/>
      </c>
      <c r="F1396" s="16"/>
    </row>
    <row r="1397" ht="15.0" customHeight="1">
      <c r="A1397" s="12"/>
      <c r="B1397" s="13"/>
      <c r="C1397" s="8"/>
      <c r="D1397" s="8"/>
      <c r="E1397" s="13" t="str">
        <f>IF(ISBLANK(D1397), "", VLOOKUP(D1397, Config!$F$6:$G$17, 2, FALSE()))</f>
        <v/>
      </c>
      <c r="F1397" s="16"/>
    </row>
    <row r="1398" ht="15.0" customHeight="1">
      <c r="A1398" s="12"/>
      <c r="B1398" s="13"/>
      <c r="C1398" s="8"/>
      <c r="D1398" s="8"/>
      <c r="E1398" s="13" t="str">
        <f>IF(ISBLANK(D1398), "", VLOOKUP(D1398, Config!$F$6:$G$17, 2, FALSE()))</f>
        <v/>
      </c>
      <c r="F1398" s="16"/>
    </row>
    <row r="1399" ht="15.0" customHeight="1">
      <c r="A1399" s="12"/>
      <c r="B1399" s="13"/>
      <c r="C1399" s="8"/>
      <c r="D1399" s="8"/>
      <c r="E1399" s="13" t="str">
        <f>IF(ISBLANK(D1399), "", VLOOKUP(D1399, Config!$F$6:$G$17, 2, FALSE()))</f>
        <v/>
      </c>
      <c r="F1399" s="16"/>
    </row>
    <row r="1400" ht="15.0" customHeight="1">
      <c r="A1400" s="12"/>
      <c r="B1400" s="13"/>
      <c r="C1400" s="8"/>
      <c r="D1400" s="8"/>
      <c r="E1400" s="13" t="str">
        <f>IF(ISBLANK(D1400), "", VLOOKUP(D1400, Config!$F$6:$G$17, 2, FALSE()))</f>
        <v/>
      </c>
      <c r="F1400" s="16"/>
    </row>
    <row r="1401" ht="15.0" customHeight="1">
      <c r="A1401" s="12"/>
      <c r="B1401" s="13"/>
      <c r="C1401" s="8"/>
      <c r="D1401" s="8"/>
      <c r="E1401" s="13" t="str">
        <f>IF(ISBLANK(D1401), "", VLOOKUP(D1401, Config!$F$6:$G$17, 2, FALSE()))</f>
        <v/>
      </c>
      <c r="F1401" s="16"/>
    </row>
    <row r="1402" ht="15.0" customHeight="1">
      <c r="A1402" s="12"/>
      <c r="B1402" s="13"/>
      <c r="C1402" s="8"/>
      <c r="D1402" s="8"/>
      <c r="E1402" s="13" t="str">
        <f>IF(ISBLANK(D1402), "", VLOOKUP(D1402, Config!$F$6:$G$17, 2, FALSE()))</f>
        <v/>
      </c>
      <c r="F1402" s="16"/>
    </row>
    <row r="1403" ht="15.0" customHeight="1">
      <c r="A1403" s="12"/>
      <c r="B1403" s="13"/>
      <c r="C1403" s="8"/>
      <c r="D1403" s="8"/>
      <c r="E1403" s="13" t="str">
        <f>IF(ISBLANK(D1403), "", VLOOKUP(D1403, Config!$F$6:$G$17, 2, FALSE()))</f>
        <v/>
      </c>
      <c r="F1403" s="16"/>
    </row>
    <row r="1404" ht="15.0" customHeight="1">
      <c r="A1404" s="12"/>
      <c r="B1404" s="13"/>
      <c r="C1404" s="8"/>
      <c r="D1404" s="8"/>
      <c r="E1404" s="13" t="str">
        <f>IF(ISBLANK(D1404), "", VLOOKUP(D1404, Config!$F$6:$G$17, 2, FALSE()))</f>
        <v/>
      </c>
      <c r="F1404" s="16"/>
    </row>
    <row r="1405" ht="15.0" customHeight="1">
      <c r="A1405" s="12"/>
      <c r="B1405" s="13"/>
      <c r="C1405" s="8"/>
      <c r="D1405" s="8"/>
      <c r="E1405" s="13" t="str">
        <f>IF(ISBLANK(D1405), "", VLOOKUP(D1405, Config!$F$6:$G$17, 2, FALSE()))</f>
        <v/>
      </c>
      <c r="F1405" s="16"/>
    </row>
    <row r="1406" ht="15.0" customHeight="1">
      <c r="A1406" s="12"/>
      <c r="B1406" s="13"/>
      <c r="C1406" s="8"/>
      <c r="D1406" s="8"/>
      <c r="E1406" s="13" t="str">
        <f>IF(ISBLANK(D1406), "", VLOOKUP(D1406, Config!$F$6:$G$17, 2, FALSE()))</f>
        <v/>
      </c>
      <c r="F1406" s="16"/>
    </row>
    <row r="1407" ht="15.0" customHeight="1">
      <c r="A1407" s="12"/>
      <c r="B1407" s="13"/>
      <c r="C1407" s="8"/>
      <c r="D1407" s="8"/>
      <c r="E1407" s="13" t="str">
        <f>IF(ISBLANK(D1407), "", VLOOKUP(D1407, Config!$F$6:$G$17, 2, FALSE()))</f>
        <v/>
      </c>
      <c r="F1407" s="16"/>
    </row>
    <row r="1408" ht="15.0" customHeight="1">
      <c r="A1408" s="12"/>
      <c r="B1408" s="13"/>
      <c r="C1408" s="8"/>
      <c r="D1408" s="8"/>
      <c r="E1408" s="13" t="str">
        <f>IF(ISBLANK(D1408), "", VLOOKUP(D1408, Config!$F$6:$G$17, 2, FALSE()))</f>
        <v/>
      </c>
      <c r="F1408" s="16"/>
    </row>
    <row r="1409" ht="15.0" customHeight="1">
      <c r="A1409" s="12"/>
      <c r="B1409" s="13"/>
      <c r="C1409" s="8"/>
      <c r="D1409" s="8"/>
      <c r="E1409" s="13" t="str">
        <f>IF(ISBLANK(D1409), "", VLOOKUP(D1409, Config!$F$6:$G$17, 2, FALSE()))</f>
        <v/>
      </c>
      <c r="F1409" s="16"/>
    </row>
    <row r="1410" ht="15.0" customHeight="1">
      <c r="A1410" s="12"/>
      <c r="B1410" s="13"/>
      <c r="C1410" s="8"/>
      <c r="D1410" s="8"/>
      <c r="E1410" s="13" t="str">
        <f>IF(ISBLANK(D1410), "", VLOOKUP(D1410, Config!$F$6:$G$17, 2, FALSE()))</f>
        <v/>
      </c>
      <c r="F1410" s="16"/>
    </row>
    <row r="1411" ht="15.0" customHeight="1">
      <c r="A1411" s="12"/>
      <c r="B1411" s="13"/>
      <c r="C1411" s="8"/>
      <c r="D1411" s="8"/>
      <c r="E1411" s="13" t="str">
        <f>IF(ISBLANK(D1411), "", VLOOKUP(D1411, Config!$F$6:$G$17, 2, FALSE()))</f>
        <v/>
      </c>
      <c r="F1411" s="16"/>
    </row>
    <row r="1412" ht="15.0" customHeight="1">
      <c r="A1412" s="12"/>
      <c r="B1412" s="13"/>
      <c r="C1412" s="8"/>
      <c r="D1412" s="8"/>
      <c r="E1412" s="13" t="str">
        <f>IF(ISBLANK(D1412), "", VLOOKUP(D1412, Config!$F$6:$G$17, 2, FALSE()))</f>
        <v/>
      </c>
      <c r="F1412" s="16"/>
    </row>
    <row r="1413" ht="15.0" customHeight="1">
      <c r="A1413" s="12"/>
      <c r="B1413" s="13"/>
      <c r="C1413" s="8"/>
      <c r="D1413" s="8"/>
      <c r="E1413" s="13" t="str">
        <f>IF(ISBLANK(D1413), "", VLOOKUP(D1413, Config!$F$6:$G$17, 2, FALSE()))</f>
        <v/>
      </c>
      <c r="F1413" s="16"/>
    </row>
    <row r="1414" ht="15.0" customHeight="1">
      <c r="A1414" s="12"/>
      <c r="B1414" s="13"/>
      <c r="C1414" s="8"/>
      <c r="D1414" s="8"/>
      <c r="E1414" s="13" t="str">
        <f>IF(ISBLANK(D1414), "", VLOOKUP(D1414, Config!$F$6:$G$17, 2, FALSE()))</f>
        <v/>
      </c>
      <c r="F1414" s="16"/>
    </row>
    <row r="1415" ht="15.0" customHeight="1">
      <c r="A1415" s="12"/>
      <c r="B1415" s="13"/>
      <c r="C1415" s="8"/>
      <c r="D1415" s="8"/>
      <c r="E1415" s="13" t="str">
        <f>IF(ISBLANK(D1415), "", VLOOKUP(D1415, Config!$F$6:$G$17, 2, FALSE()))</f>
        <v/>
      </c>
      <c r="F1415" s="16"/>
    </row>
    <row r="1416" ht="15.0" customHeight="1">
      <c r="A1416" s="12"/>
      <c r="B1416" s="13"/>
      <c r="C1416" s="8"/>
      <c r="D1416" s="8"/>
      <c r="E1416" s="13" t="str">
        <f>IF(ISBLANK(D1416), "", VLOOKUP(D1416, Config!$F$6:$G$17, 2, FALSE()))</f>
        <v/>
      </c>
      <c r="F1416" s="16"/>
    </row>
    <row r="1417" ht="15.0" customHeight="1">
      <c r="A1417" s="12"/>
      <c r="B1417" s="13"/>
      <c r="C1417" s="8"/>
      <c r="D1417" s="8"/>
      <c r="E1417" s="13" t="str">
        <f>IF(ISBLANK(D1417), "", VLOOKUP(D1417, Config!$F$6:$G$17, 2, FALSE()))</f>
        <v/>
      </c>
      <c r="F1417" s="16"/>
    </row>
    <row r="1418" ht="15.0" customHeight="1">
      <c r="A1418" s="12"/>
      <c r="B1418" s="13"/>
      <c r="C1418" s="8"/>
      <c r="D1418" s="8"/>
      <c r="E1418" s="13" t="str">
        <f>IF(ISBLANK(D1418), "", VLOOKUP(D1418, Config!$F$6:$G$17, 2, FALSE()))</f>
        <v/>
      </c>
      <c r="F1418" s="16"/>
    </row>
    <row r="1419" ht="15.0" customHeight="1">
      <c r="A1419" s="12"/>
      <c r="B1419" s="13"/>
      <c r="C1419" s="8"/>
      <c r="D1419" s="8"/>
      <c r="E1419" s="13" t="str">
        <f>IF(ISBLANK(D1419), "", VLOOKUP(D1419, Config!$F$6:$G$17, 2, FALSE()))</f>
        <v/>
      </c>
      <c r="F1419" s="16"/>
    </row>
    <row r="1420" ht="15.0" customHeight="1">
      <c r="A1420" s="12"/>
      <c r="B1420" s="13"/>
      <c r="C1420" s="8"/>
      <c r="D1420" s="8"/>
      <c r="E1420" s="13" t="str">
        <f>IF(ISBLANK(D1420), "", VLOOKUP(D1420, Config!$F$6:$G$17, 2, FALSE()))</f>
        <v/>
      </c>
      <c r="F1420" s="16"/>
    </row>
    <row r="1421" ht="15.0" customHeight="1">
      <c r="A1421" s="12"/>
      <c r="B1421" s="13"/>
      <c r="C1421" s="8"/>
      <c r="D1421" s="8"/>
      <c r="E1421" s="13" t="str">
        <f>IF(ISBLANK(D1421), "", VLOOKUP(D1421, Config!$F$6:$G$17, 2, FALSE()))</f>
        <v/>
      </c>
      <c r="F1421" s="16"/>
    </row>
    <row r="1422" ht="15.0" customHeight="1">
      <c r="A1422" s="12"/>
      <c r="B1422" s="13"/>
      <c r="C1422" s="8"/>
      <c r="D1422" s="8"/>
      <c r="E1422" s="13" t="str">
        <f>IF(ISBLANK(D1422), "", VLOOKUP(D1422, Config!$F$6:$G$17, 2, FALSE()))</f>
        <v/>
      </c>
      <c r="F1422" s="16"/>
    </row>
    <row r="1423" ht="15.0" customHeight="1">
      <c r="A1423" s="12"/>
      <c r="B1423" s="13"/>
      <c r="C1423" s="8"/>
      <c r="D1423" s="8"/>
      <c r="E1423" s="13" t="str">
        <f>IF(ISBLANK(D1423), "", VLOOKUP(D1423, Config!$F$6:$G$17, 2, FALSE()))</f>
        <v/>
      </c>
      <c r="F1423" s="16"/>
    </row>
    <row r="1424" ht="15.0" customHeight="1">
      <c r="A1424" s="12"/>
      <c r="B1424" s="13"/>
      <c r="C1424" s="8"/>
      <c r="D1424" s="8"/>
      <c r="E1424" s="13" t="str">
        <f>IF(ISBLANK(D1424), "", VLOOKUP(D1424, Config!$F$6:$G$17, 2, FALSE()))</f>
        <v/>
      </c>
      <c r="F1424" s="16"/>
    </row>
    <row r="1425" ht="15.0" customHeight="1">
      <c r="A1425" s="12"/>
      <c r="B1425" s="13"/>
      <c r="C1425" s="8"/>
      <c r="D1425" s="8"/>
      <c r="E1425" s="13" t="str">
        <f>IF(ISBLANK(D1425), "", VLOOKUP(D1425, Config!$F$6:$G$17, 2, FALSE()))</f>
        <v/>
      </c>
      <c r="F1425" s="16"/>
    </row>
    <row r="1426" ht="15.0" customHeight="1">
      <c r="A1426" s="12"/>
      <c r="B1426" s="13"/>
      <c r="C1426" s="8"/>
      <c r="D1426" s="8"/>
      <c r="E1426" s="13" t="str">
        <f>IF(ISBLANK(D1426), "", VLOOKUP(D1426, Config!$F$6:$G$17, 2, FALSE()))</f>
        <v/>
      </c>
      <c r="F1426" s="16"/>
    </row>
    <row r="1427" ht="15.0" customHeight="1">
      <c r="A1427" s="12"/>
      <c r="B1427" s="13"/>
      <c r="C1427" s="8"/>
      <c r="D1427" s="8"/>
      <c r="E1427" s="13" t="str">
        <f>IF(ISBLANK(D1427), "", VLOOKUP(D1427, Config!$F$6:$G$17, 2, FALSE()))</f>
        <v/>
      </c>
      <c r="F1427" s="16"/>
    </row>
    <row r="1428" ht="15.0" customHeight="1">
      <c r="A1428" s="12"/>
      <c r="B1428" s="13"/>
      <c r="C1428" s="8"/>
      <c r="D1428" s="8"/>
      <c r="E1428" s="13" t="str">
        <f>IF(ISBLANK(D1428), "", VLOOKUP(D1428, Config!$F$6:$G$17, 2, FALSE()))</f>
        <v/>
      </c>
      <c r="F1428" s="16"/>
    </row>
    <row r="1429" ht="15.0" customHeight="1">
      <c r="A1429" s="12"/>
      <c r="B1429" s="13"/>
      <c r="C1429" s="8"/>
      <c r="D1429" s="8"/>
      <c r="E1429" s="13" t="str">
        <f>IF(ISBLANK(D1429), "", VLOOKUP(D1429, Config!$F$6:$G$17, 2, FALSE()))</f>
        <v/>
      </c>
      <c r="F1429" s="16"/>
    </row>
    <row r="1430" ht="15.0" customHeight="1">
      <c r="A1430" s="12"/>
      <c r="B1430" s="13"/>
      <c r="C1430" s="8"/>
      <c r="D1430" s="8"/>
      <c r="E1430" s="13" t="str">
        <f>IF(ISBLANK(D1430), "", VLOOKUP(D1430, Config!$F$6:$G$17, 2, FALSE()))</f>
        <v/>
      </c>
      <c r="F1430" s="16"/>
    </row>
    <row r="1431" ht="15.0" customHeight="1">
      <c r="A1431" s="12"/>
      <c r="B1431" s="13"/>
      <c r="C1431" s="8"/>
      <c r="D1431" s="8"/>
      <c r="E1431" s="13" t="str">
        <f>IF(ISBLANK(D1431), "", VLOOKUP(D1431, Config!$F$6:$G$17, 2, FALSE()))</f>
        <v/>
      </c>
      <c r="F1431" s="16"/>
    </row>
    <row r="1432" ht="15.0" customHeight="1">
      <c r="A1432" s="12"/>
      <c r="B1432" s="13"/>
      <c r="C1432" s="8"/>
      <c r="D1432" s="8"/>
      <c r="E1432" s="13" t="str">
        <f>IF(ISBLANK(D1432), "", VLOOKUP(D1432, Config!$F$6:$G$17, 2, FALSE()))</f>
        <v/>
      </c>
      <c r="F1432" s="16"/>
    </row>
    <row r="1433" ht="15.0" customHeight="1">
      <c r="A1433" s="12"/>
      <c r="B1433" s="13"/>
      <c r="C1433" s="8"/>
      <c r="D1433" s="8"/>
      <c r="E1433" s="13" t="str">
        <f>IF(ISBLANK(D1433), "", VLOOKUP(D1433, Config!$F$6:$G$17, 2, FALSE()))</f>
        <v/>
      </c>
      <c r="F1433" s="16"/>
    </row>
    <row r="1434" ht="15.0" customHeight="1">
      <c r="A1434" s="12"/>
      <c r="B1434" s="13"/>
      <c r="C1434" s="8"/>
      <c r="D1434" s="8"/>
      <c r="E1434" s="13" t="str">
        <f>IF(ISBLANK(D1434), "", VLOOKUP(D1434, Config!$F$6:$G$17, 2, FALSE()))</f>
        <v/>
      </c>
      <c r="F1434" s="16"/>
    </row>
    <row r="1435" ht="15.0" customHeight="1">
      <c r="A1435" s="12"/>
      <c r="B1435" s="13"/>
      <c r="C1435" s="8"/>
      <c r="D1435" s="8"/>
      <c r="E1435" s="13" t="str">
        <f>IF(ISBLANK(D1435), "", VLOOKUP(D1435, Config!$F$6:$G$17, 2, FALSE()))</f>
        <v/>
      </c>
      <c r="F1435" s="16"/>
    </row>
    <row r="1436" ht="15.0" customHeight="1">
      <c r="A1436" s="12"/>
      <c r="B1436" s="13"/>
      <c r="C1436" s="8"/>
      <c r="D1436" s="8"/>
      <c r="E1436" s="13" t="str">
        <f>IF(ISBLANK(D1436), "", VLOOKUP(D1436, Config!$F$6:$G$17, 2, FALSE()))</f>
        <v/>
      </c>
      <c r="F1436" s="16"/>
    </row>
    <row r="1437" ht="15.0" customHeight="1">
      <c r="A1437" s="12"/>
      <c r="B1437" s="13"/>
      <c r="C1437" s="8"/>
      <c r="D1437" s="8"/>
      <c r="E1437" s="13" t="str">
        <f>IF(ISBLANK(D1437), "", VLOOKUP(D1437, Config!$F$6:$G$17, 2, FALSE()))</f>
        <v/>
      </c>
      <c r="F1437" s="16"/>
    </row>
    <row r="1438" ht="15.0" customHeight="1">
      <c r="A1438" s="12"/>
      <c r="B1438" s="13"/>
      <c r="C1438" s="8"/>
      <c r="D1438" s="8"/>
      <c r="E1438" s="13" t="str">
        <f>IF(ISBLANK(D1438), "", VLOOKUP(D1438, Config!$F$6:$G$17, 2, FALSE()))</f>
        <v/>
      </c>
      <c r="F1438" s="16"/>
    </row>
    <row r="1439" ht="15.0" customHeight="1">
      <c r="A1439" s="12"/>
      <c r="B1439" s="13"/>
      <c r="C1439" s="8"/>
      <c r="D1439" s="8"/>
      <c r="E1439" s="13" t="str">
        <f>IF(ISBLANK(D1439), "", VLOOKUP(D1439, Config!$F$6:$G$17, 2, FALSE()))</f>
        <v/>
      </c>
      <c r="F1439" s="16"/>
    </row>
    <row r="1440" ht="15.0" customHeight="1">
      <c r="A1440" s="12"/>
      <c r="B1440" s="13"/>
      <c r="C1440" s="8"/>
      <c r="D1440" s="8"/>
      <c r="E1440" s="13" t="str">
        <f>IF(ISBLANK(D1440), "", VLOOKUP(D1440, Config!$F$6:$G$17, 2, FALSE()))</f>
        <v/>
      </c>
      <c r="F1440" s="16"/>
    </row>
    <row r="1441" ht="15.0" customHeight="1">
      <c r="A1441" s="12"/>
      <c r="B1441" s="13"/>
      <c r="C1441" s="8"/>
      <c r="D1441" s="8"/>
      <c r="E1441" s="13" t="str">
        <f>IF(ISBLANK(D1441), "", VLOOKUP(D1441, Config!$F$6:$G$17, 2, FALSE()))</f>
        <v/>
      </c>
      <c r="F1441" s="16"/>
    </row>
    <row r="1442" ht="15.0" customHeight="1">
      <c r="A1442" s="12"/>
      <c r="B1442" s="13"/>
      <c r="C1442" s="8"/>
      <c r="D1442" s="8"/>
      <c r="E1442" s="13" t="str">
        <f>IF(ISBLANK(D1442), "", VLOOKUP(D1442, Config!$F$6:$G$17, 2, FALSE()))</f>
        <v/>
      </c>
      <c r="F1442" s="16"/>
    </row>
    <row r="1443" ht="15.0" customHeight="1">
      <c r="A1443" s="12"/>
      <c r="B1443" s="13"/>
      <c r="C1443" s="8"/>
      <c r="D1443" s="8"/>
      <c r="E1443" s="13" t="str">
        <f>IF(ISBLANK(D1443), "", VLOOKUP(D1443, Config!$F$6:$G$17, 2, FALSE()))</f>
        <v/>
      </c>
      <c r="F1443" s="16"/>
    </row>
    <row r="1444" ht="15.0" customHeight="1">
      <c r="A1444" s="12"/>
      <c r="B1444" s="13"/>
      <c r="C1444" s="8"/>
      <c r="D1444" s="8"/>
      <c r="E1444" s="13" t="str">
        <f>IF(ISBLANK(D1444), "", VLOOKUP(D1444, Config!$F$6:$G$17, 2, FALSE()))</f>
        <v/>
      </c>
      <c r="F1444" s="16"/>
    </row>
    <row r="1445" ht="15.0" customHeight="1">
      <c r="A1445" s="12"/>
      <c r="B1445" s="13"/>
      <c r="C1445" s="8"/>
      <c r="D1445" s="8"/>
      <c r="E1445" s="13" t="str">
        <f>IF(ISBLANK(D1445), "", VLOOKUP(D1445, Config!$F$6:$G$17, 2, FALSE()))</f>
        <v/>
      </c>
      <c r="F1445" s="16"/>
    </row>
    <row r="1446" ht="15.0" customHeight="1">
      <c r="A1446" s="12"/>
      <c r="B1446" s="13"/>
      <c r="C1446" s="8"/>
      <c r="D1446" s="8"/>
      <c r="E1446" s="13" t="str">
        <f>IF(ISBLANK(D1446), "", VLOOKUP(D1446, Config!$F$6:$G$17, 2, FALSE()))</f>
        <v/>
      </c>
      <c r="F1446" s="16"/>
    </row>
    <row r="1447" ht="15.0" customHeight="1">
      <c r="A1447" s="12"/>
      <c r="B1447" s="13"/>
      <c r="C1447" s="8"/>
      <c r="D1447" s="8"/>
      <c r="E1447" s="13" t="str">
        <f>IF(ISBLANK(D1447), "", VLOOKUP(D1447, Config!$F$6:$G$17, 2, FALSE()))</f>
        <v/>
      </c>
      <c r="F1447" s="16"/>
    </row>
    <row r="1448" ht="15.0" customHeight="1">
      <c r="A1448" s="12"/>
      <c r="B1448" s="13"/>
      <c r="C1448" s="8"/>
      <c r="D1448" s="8"/>
      <c r="E1448" s="13" t="str">
        <f>IF(ISBLANK(D1448), "", VLOOKUP(D1448, Config!$F$6:$G$17, 2, FALSE()))</f>
        <v/>
      </c>
      <c r="F1448" s="16"/>
    </row>
    <row r="1449" ht="15.0" customHeight="1">
      <c r="A1449" s="12"/>
      <c r="B1449" s="13"/>
      <c r="C1449" s="8"/>
      <c r="D1449" s="8"/>
      <c r="E1449" s="13" t="str">
        <f>IF(ISBLANK(D1449), "", VLOOKUP(D1449, Config!$F$6:$G$17, 2, FALSE()))</f>
        <v/>
      </c>
      <c r="F1449" s="16"/>
    </row>
    <row r="1450" ht="15.0" customHeight="1">
      <c r="A1450" s="12"/>
      <c r="B1450" s="13"/>
      <c r="C1450" s="8"/>
      <c r="D1450" s="8"/>
      <c r="E1450" s="13" t="str">
        <f>IF(ISBLANK(D1450), "", VLOOKUP(D1450, Config!$F$6:$G$17, 2, FALSE()))</f>
        <v/>
      </c>
      <c r="F1450" s="16"/>
    </row>
    <row r="1451" ht="15.0" customHeight="1">
      <c r="A1451" s="12"/>
      <c r="B1451" s="13"/>
      <c r="C1451" s="8"/>
      <c r="D1451" s="8"/>
      <c r="E1451" s="13" t="str">
        <f>IF(ISBLANK(D1451), "", VLOOKUP(D1451, Config!$F$6:$G$17, 2, FALSE()))</f>
        <v/>
      </c>
      <c r="F1451" s="16"/>
    </row>
    <row r="1452" ht="15.0" customHeight="1">
      <c r="A1452" s="12"/>
      <c r="B1452" s="13"/>
      <c r="C1452" s="8"/>
      <c r="D1452" s="8"/>
      <c r="E1452" s="13" t="str">
        <f>IF(ISBLANK(D1452), "", VLOOKUP(D1452, Config!$F$6:$G$17, 2, FALSE()))</f>
        <v/>
      </c>
      <c r="F1452" s="16"/>
    </row>
    <row r="1453" ht="15.0" customHeight="1">
      <c r="A1453" s="12"/>
      <c r="B1453" s="13"/>
      <c r="C1453" s="8"/>
      <c r="D1453" s="8"/>
      <c r="E1453" s="13" t="str">
        <f>IF(ISBLANK(D1453), "", VLOOKUP(D1453, Config!$F$6:$G$17, 2, FALSE()))</f>
        <v/>
      </c>
      <c r="F1453" s="16"/>
    </row>
    <row r="1454" ht="15.0" customHeight="1">
      <c r="A1454" s="12"/>
      <c r="B1454" s="13"/>
      <c r="C1454" s="8"/>
      <c r="D1454" s="8"/>
      <c r="E1454" s="13" t="str">
        <f>IF(ISBLANK(D1454), "", VLOOKUP(D1454, Config!$F$6:$G$17, 2, FALSE()))</f>
        <v/>
      </c>
      <c r="F1454" s="16"/>
    </row>
    <row r="1455" ht="15.0" customHeight="1">
      <c r="A1455" s="12"/>
      <c r="B1455" s="13"/>
      <c r="C1455" s="8"/>
      <c r="D1455" s="8"/>
      <c r="E1455" s="13" t="str">
        <f>IF(ISBLANK(D1455), "", VLOOKUP(D1455, Config!$F$6:$G$17, 2, FALSE()))</f>
        <v/>
      </c>
      <c r="F1455" s="16"/>
    </row>
    <row r="1456" ht="15.0" customHeight="1">
      <c r="A1456" s="12"/>
      <c r="B1456" s="13"/>
      <c r="C1456" s="8"/>
      <c r="D1456" s="8"/>
      <c r="E1456" s="13" t="str">
        <f>IF(ISBLANK(D1456), "", VLOOKUP(D1456, Config!$F$6:$G$17, 2, FALSE()))</f>
        <v/>
      </c>
      <c r="F1456" s="16"/>
    </row>
    <row r="1457" ht="15.0" customHeight="1">
      <c r="A1457" s="12"/>
      <c r="B1457" s="13"/>
      <c r="C1457" s="8"/>
      <c r="D1457" s="8"/>
      <c r="E1457" s="13" t="str">
        <f>IF(ISBLANK(D1457), "", VLOOKUP(D1457, Config!$F$6:$G$17, 2, FALSE()))</f>
        <v/>
      </c>
      <c r="F1457" s="16"/>
    </row>
    <row r="1458" ht="15.0" customHeight="1">
      <c r="A1458" s="12"/>
      <c r="B1458" s="13"/>
      <c r="C1458" s="8"/>
      <c r="D1458" s="8"/>
      <c r="E1458" s="13" t="str">
        <f>IF(ISBLANK(D1458), "", VLOOKUP(D1458, Config!$F$6:$G$17, 2, FALSE()))</f>
        <v/>
      </c>
      <c r="F1458" s="16"/>
    </row>
    <row r="1459" ht="15.0" customHeight="1">
      <c r="A1459" s="12"/>
      <c r="B1459" s="13"/>
      <c r="C1459" s="8"/>
      <c r="D1459" s="8"/>
      <c r="E1459" s="13" t="str">
        <f>IF(ISBLANK(D1459), "", VLOOKUP(D1459, Config!$F$6:$G$17, 2, FALSE()))</f>
        <v/>
      </c>
      <c r="F1459" s="16"/>
    </row>
    <row r="1460" ht="15.0" customHeight="1">
      <c r="A1460" s="12"/>
      <c r="B1460" s="13"/>
      <c r="C1460" s="8"/>
      <c r="D1460" s="8"/>
      <c r="E1460" s="13" t="str">
        <f>IF(ISBLANK(D1460), "", VLOOKUP(D1460, Config!$F$6:$G$17, 2, FALSE()))</f>
        <v/>
      </c>
      <c r="F1460" s="16"/>
    </row>
    <row r="1461" ht="15.0" customHeight="1">
      <c r="A1461" s="12"/>
      <c r="B1461" s="13"/>
      <c r="C1461" s="8"/>
      <c r="D1461" s="8"/>
      <c r="E1461" s="13" t="str">
        <f>IF(ISBLANK(D1461), "", VLOOKUP(D1461, Config!$F$6:$G$17, 2, FALSE()))</f>
        <v/>
      </c>
      <c r="F1461" s="16"/>
    </row>
    <row r="1462" ht="15.0" customHeight="1">
      <c r="A1462" s="12"/>
      <c r="B1462" s="13"/>
      <c r="C1462" s="8"/>
      <c r="D1462" s="8"/>
      <c r="E1462" s="13" t="str">
        <f>IF(ISBLANK(D1462), "", VLOOKUP(D1462, Config!$F$6:$G$17, 2, FALSE()))</f>
        <v/>
      </c>
      <c r="F1462" s="16"/>
    </row>
    <row r="1463" ht="15.0" customHeight="1">
      <c r="A1463" s="12"/>
      <c r="B1463" s="13"/>
      <c r="C1463" s="8"/>
      <c r="D1463" s="8"/>
      <c r="E1463" s="13" t="str">
        <f>IF(ISBLANK(D1463), "", VLOOKUP(D1463, Config!$F$6:$G$17, 2, FALSE()))</f>
        <v/>
      </c>
      <c r="F1463" s="16"/>
    </row>
    <row r="1464" ht="15.0" customHeight="1">
      <c r="A1464" s="12"/>
      <c r="B1464" s="13"/>
      <c r="C1464" s="8"/>
      <c r="D1464" s="8"/>
      <c r="E1464" s="13" t="str">
        <f>IF(ISBLANK(D1464), "", VLOOKUP(D1464, Config!$F$6:$G$17, 2, FALSE()))</f>
        <v/>
      </c>
      <c r="F1464" s="16"/>
    </row>
    <row r="1465" ht="15.0" customHeight="1">
      <c r="A1465" s="12"/>
      <c r="B1465" s="13"/>
      <c r="C1465" s="8"/>
      <c r="D1465" s="8"/>
      <c r="E1465" s="13" t="str">
        <f>IF(ISBLANK(D1465), "", VLOOKUP(D1465, Config!$F$6:$G$17, 2, FALSE()))</f>
        <v/>
      </c>
      <c r="F1465" s="16"/>
    </row>
    <row r="1466" ht="15.0" customHeight="1">
      <c r="A1466" s="12"/>
      <c r="B1466" s="13"/>
      <c r="C1466" s="8"/>
      <c r="D1466" s="8"/>
      <c r="E1466" s="13" t="str">
        <f>IF(ISBLANK(D1466), "", VLOOKUP(D1466, Config!$F$6:$G$17, 2, FALSE()))</f>
        <v/>
      </c>
      <c r="F1466" s="16"/>
    </row>
    <row r="1467" ht="15.0" customHeight="1">
      <c r="A1467" s="12"/>
      <c r="B1467" s="13"/>
      <c r="C1467" s="8"/>
      <c r="D1467" s="8"/>
      <c r="E1467" s="13" t="str">
        <f>IF(ISBLANK(D1467), "", VLOOKUP(D1467, Config!$F$6:$G$17, 2, FALSE()))</f>
        <v/>
      </c>
      <c r="F1467" s="16"/>
    </row>
    <row r="1468" ht="15.0" customHeight="1">
      <c r="A1468" s="12"/>
      <c r="B1468" s="13"/>
      <c r="C1468" s="8"/>
      <c r="D1468" s="8"/>
      <c r="E1468" s="13" t="str">
        <f>IF(ISBLANK(D1468), "", VLOOKUP(D1468, Config!$F$6:$G$17, 2, FALSE()))</f>
        <v/>
      </c>
      <c r="F1468" s="16"/>
    </row>
    <row r="1469" ht="15.0" customHeight="1">
      <c r="A1469" s="12"/>
      <c r="B1469" s="13"/>
      <c r="C1469" s="8"/>
      <c r="D1469" s="8"/>
      <c r="E1469" s="13" t="str">
        <f>IF(ISBLANK(D1469), "", VLOOKUP(D1469, Config!$F$6:$G$17, 2, FALSE()))</f>
        <v/>
      </c>
      <c r="F1469" s="16"/>
    </row>
    <row r="1470" ht="15.0" customHeight="1">
      <c r="A1470" s="12"/>
      <c r="B1470" s="13"/>
      <c r="C1470" s="8"/>
      <c r="D1470" s="8"/>
      <c r="E1470" s="13" t="str">
        <f>IF(ISBLANK(D1470), "", VLOOKUP(D1470, Config!$F$6:$G$17, 2, FALSE()))</f>
        <v/>
      </c>
      <c r="F1470" s="16"/>
    </row>
    <row r="1471" ht="15.0" customHeight="1">
      <c r="A1471" s="12"/>
      <c r="B1471" s="13"/>
      <c r="C1471" s="8"/>
      <c r="D1471" s="8"/>
      <c r="E1471" s="13" t="str">
        <f>IF(ISBLANK(D1471), "", VLOOKUP(D1471, Config!$F$6:$G$17, 2, FALSE()))</f>
        <v/>
      </c>
      <c r="F1471" s="16"/>
    </row>
    <row r="1472" ht="15.0" customHeight="1">
      <c r="A1472" s="12"/>
      <c r="B1472" s="13"/>
      <c r="C1472" s="8"/>
      <c r="D1472" s="8"/>
      <c r="E1472" s="13" t="str">
        <f>IF(ISBLANK(D1472), "", VLOOKUP(D1472, Config!$F$6:$G$17, 2, FALSE()))</f>
        <v/>
      </c>
      <c r="F1472" s="16"/>
    </row>
    <row r="1473" ht="15.0" customHeight="1">
      <c r="A1473" s="12"/>
      <c r="B1473" s="13"/>
      <c r="C1473" s="8"/>
      <c r="D1473" s="8"/>
      <c r="E1473" s="13" t="str">
        <f>IF(ISBLANK(D1473), "", VLOOKUP(D1473, Config!$F$6:$G$17, 2, FALSE()))</f>
        <v/>
      </c>
      <c r="F1473" s="16"/>
    </row>
    <row r="1474" ht="15.0" customHeight="1">
      <c r="A1474" s="12"/>
      <c r="B1474" s="13"/>
      <c r="C1474" s="8"/>
      <c r="D1474" s="8"/>
      <c r="E1474" s="13" t="str">
        <f>IF(ISBLANK(D1474), "", VLOOKUP(D1474, Config!$F$6:$G$17, 2, FALSE()))</f>
        <v/>
      </c>
      <c r="F1474" s="16"/>
    </row>
    <row r="1475" ht="15.0" customHeight="1">
      <c r="A1475" s="12"/>
      <c r="B1475" s="13"/>
      <c r="C1475" s="8"/>
      <c r="D1475" s="8"/>
      <c r="E1475" s="13" t="str">
        <f>IF(ISBLANK(D1475), "", VLOOKUP(D1475, Config!$F$6:$G$17, 2, FALSE()))</f>
        <v/>
      </c>
      <c r="F1475" s="16"/>
    </row>
    <row r="1476" ht="15.0" customHeight="1">
      <c r="A1476" s="12"/>
      <c r="B1476" s="13"/>
      <c r="C1476" s="8"/>
      <c r="D1476" s="8"/>
      <c r="E1476" s="13" t="str">
        <f>IF(ISBLANK(D1476), "", VLOOKUP(D1476, Config!$F$6:$G$17, 2, FALSE()))</f>
        <v/>
      </c>
      <c r="F1476" s="16"/>
    </row>
    <row r="1477" ht="15.0" customHeight="1">
      <c r="A1477" s="12"/>
      <c r="B1477" s="13"/>
      <c r="C1477" s="8"/>
      <c r="D1477" s="8"/>
      <c r="E1477" s="13" t="str">
        <f>IF(ISBLANK(D1477), "", VLOOKUP(D1477, Config!$F$6:$G$17, 2, FALSE()))</f>
        <v/>
      </c>
      <c r="F1477" s="16"/>
    </row>
    <row r="1478" ht="15.0" customHeight="1">
      <c r="A1478" s="12"/>
      <c r="B1478" s="13"/>
      <c r="C1478" s="8"/>
      <c r="D1478" s="8"/>
      <c r="E1478" s="13" t="str">
        <f>IF(ISBLANK(D1478), "", VLOOKUP(D1478, Config!$F$6:$G$17, 2, FALSE()))</f>
        <v/>
      </c>
      <c r="F1478" s="16"/>
    </row>
    <row r="1479" ht="15.0" customHeight="1">
      <c r="A1479" s="12"/>
      <c r="B1479" s="13"/>
      <c r="C1479" s="8"/>
      <c r="D1479" s="8"/>
      <c r="E1479" s="13" t="str">
        <f>IF(ISBLANK(D1479), "", VLOOKUP(D1479, Config!$F$6:$G$17, 2, FALSE()))</f>
        <v/>
      </c>
      <c r="F1479" s="16"/>
    </row>
    <row r="1480" ht="15.0" customHeight="1">
      <c r="A1480" s="12"/>
      <c r="B1480" s="13"/>
      <c r="C1480" s="8"/>
      <c r="D1480" s="8"/>
      <c r="E1480" s="13" t="str">
        <f>IF(ISBLANK(D1480), "", VLOOKUP(D1480, Config!$F$6:$G$17, 2, FALSE()))</f>
        <v/>
      </c>
      <c r="F1480" s="16"/>
    </row>
    <row r="1481" ht="15.0" customHeight="1">
      <c r="A1481" s="12"/>
      <c r="B1481" s="13"/>
      <c r="C1481" s="8"/>
      <c r="D1481" s="8"/>
      <c r="E1481" s="13" t="str">
        <f>IF(ISBLANK(D1481), "", VLOOKUP(D1481, Config!$F$6:$G$17, 2, FALSE()))</f>
        <v/>
      </c>
      <c r="F1481" s="16"/>
    </row>
    <row r="1482" ht="15.0" customHeight="1">
      <c r="A1482" s="12"/>
      <c r="B1482" s="13"/>
      <c r="C1482" s="8"/>
      <c r="D1482" s="8"/>
      <c r="E1482" s="13" t="str">
        <f>IF(ISBLANK(D1482), "", VLOOKUP(D1482, Config!$F$6:$G$17, 2, FALSE()))</f>
        <v/>
      </c>
      <c r="F1482" s="16"/>
    </row>
    <row r="1483" ht="15.0" customHeight="1">
      <c r="A1483" s="12"/>
      <c r="B1483" s="13"/>
      <c r="C1483" s="8"/>
      <c r="D1483" s="8"/>
      <c r="E1483" s="13" t="str">
        <f>IF(ISBLANK(D1483), "", VLOOKUP(D1483, Config!$F$6:$G$17, 2, FALSE()))</f>
        <v/>
      </c>
      <c r="F1483" s="16"/>
    </row>
    <row r="1484" ht="15.0" customHeight="1">
      <c r="A1484" s="12"/>
      <c r="B1484" s="13"/>
      <c r="C1484" s="8"/>
      <c r="D1484" s="8"/>
      <c r="E1484" s="13" t="str">
        <f>IF(ISBLANK(D1484), "", VLOOKUP(D1484, Config!$F$6:$G$17, 2, FALSE()))</f>
        <v/>
      </c>
      <c r="F1484" s="16"/>
    </row>
    <row r="1485" ht="15.0" customHeight="1">
      <c r="A1485" s="12"/>
      <c r="B1485" s="13"/>
      <c r="C1485" s="8"/>
      <c r="D1485" s="8"/>
      <c r="E1485" s="13" t="str">
        <f>IF(ISBLANK(D1485), "", VLOOKUP(D1485, Config!$F$6:$G$17, 2, FALSE()))</f>
        <v/>
      </c>
      <c r="F1485" s="16"/>
    </row>
    <row r="1486" ht="15.0" customHeight="1">
      <c r="A1486" s="12"/>
      <c r="B1486" s="13"/>
      <c r="C1486" s="8"/>
      <c r="D1486" s="8"/>
      <c r="E1486" s="13" t="str">
        <f>IF(ISBLANK(D1486), "", VLOOKUP(D1486, Config!$F$6:$G$17, 2, FALSE()))</f>
        <v/>
      </c>
      <c r="F1486" s="16"/>
    </row>
    <row r="1487" ht="15.0" customHeight="1">
      <c r="A1487" s="12"/>
      <c r="B1487" s="13"/>
      <c r="C1487" s="8"/>
      <c r="D1487" s="8"/>
      <c r="E1487" s="13" t="str">
        <f>IF(ISBLANK(D1487), "", VLOOKUP(D1487, Config!$F$6:$G$17, 2, FALSE()))</f>
        <v/>
      </c>
      <c r="F1487" s="16"/>
    </row>
    <row r="1488" ht="15.0" customHeight="1">
      <c r="A1488" s="12"/>
      <c r="B1488" s="13"/>
      <c r="C1488" s="8"/>
      <c r="D1488" s="8"/>
      <c r="E1488" s="13" t="str">
        <f>IF(ISBLANK(D1488), "", VLOOKUP(D1488, Config!$F$6:$G$17, 2, FALSE()))</f>
        <v/>
      </c>
      <c r="F1488" s="16"/>
    </row>
    <row r="1489" ht="15.0" customHeight="1">
      <c r="A1489" s="12"/>
      <c r="B1489" s="13"/>
      <c r="C1489" s="8"/>
      <c r="D1489" s="8"/>
      <c r="E1489" s="13" t="str">
        <f>IF(ISBLANK(D1489), "", VLOOKUP(D1489, Config!$F$6:$G$17, 2, FALSE()))</f>
        <v/>
      </c>
      <c r="F1489" s="16"/>
    </row>
    <row r="1490" ht="15.0" customHeight="1">
      <c r="A1490" s="12"/>
      <c r="B1490" s="13"/>
      <c r="C1490" s="8"/>
      <c r="D1490" s="8"/>
      <c r="E1490" s="13" t="str">
        <f>IF(ISBLANK(D1490), "", VLOOKUP(D1490, Config!$F$6:$G$17, 2, FALSE()))</f>
        <v/>
      </c>
      <c r="F1490" s="16"/>
    </row>
    <row r="1491" ht="15.0" customHeight="1">
      <c r="A1491" s="12"/>
      <c r="B1491" s="13"/>
      <c r="C1491" s="8"/>
      <c r="D1491" s="8"/>
      <c r="E1491" s="13" t="str">
        <f>IF(ISBLANK(D1491), "", VLOOKUP(D1491, Config!$F$6:$G$17, 2, FALSE()))</f>
        <v/>
      </c>
      <c r="F1491" s="16"/>
    </row>
    <row r="1492" ht="15.0" customHeight="1">
      <c r="A1492" s="12"/>
      <c r="B1492" s="13"/>
      <c r="C1492" s="8"/>
      <c r="D1492" s="8"/>
      <c r="E1492" s="13" t="str">
        <f>IF(ISBLANK(D1492), "", VLOOKUP(D1492, Config!$F$6:$G$17, 2, FALSE()))</f>
        <v/>
      </c>
      <c r="F1492" s="16"/>
    </row>
    <row r="1493" ht="15.0" customHeight="1">
      <c r="A1493" s="12"/>
      <c r="B1493" s="13"/>
      <c r="C1493" s="8"/>
      <c r="D1493" s="8"/>
      <c r="E1493" s="13" t="str">
        <f>IF(ISBLANK(D1493), "", VLOOKUP(D1493, Config!$F$6:$G$17, 2, FALSE()))</f>
        <v/>
      </c>
      <c r="F1493" s="16"/>
    </row>
    <row r="1494" ht="15.0" customHeight="1">
      <c r="A1494" s="12"/>
      <c r="B1494" s="13"/>
      <c r="C1494" s="8"/>
      <c r="D1494" s="8"/>
      <c r="E1494" s="13" t="str">
        <f>IF(ISBLANK(D1494), "", VLOOKUP(D1494, Config!$F$6:$G$17, 2, FALSE()))</f>
        <v/>
      </c>
      <c r="F1494" s="16"/>
    </row>
    <row r="1495" ht="15.0" customHeight="1">
      <c r="A1495" s="12"/>
      <c r="B1495" s="13"/>
      <c r="C1495" s="8"/>
      <c r="D1495" s="8"/>
      <c r="E1495" s="13" t="str">
        <f>IF(ISBLANK(D1495), "", VLOOKUP(D1495, Config!$F$6:$G$17, 2, FALSE()))</f>
        <v/>
      </c>
      <c r="F1495" s="16"/>
    </row>
    <row r="1496" ht="15.0" customHeight="1">
      <c r="A1496" s="12"/>
      <c r="B1496" s="13"/>
      <c r="C1496" s="8"/>
      <c r="D1496" s="8"/>
      <c r="E1496" s="13" t="str">
        <f>IF(ISBLANK(D1496), "", VLOOKUP(D1496, Config!$F$6:$G$17, 2, FALSE()))</f>
        <v/>
      </c>
      <c r="F1496" s="16"/>
    </row>
    <row r="1497" ht="15.0" customHeight="1">
      <c r="A1497" s="12"/>
      <c r="B1497" s="13"/>
      <c r="C1497" s="8"/>
      <c r="D1497" s="8"/>
      <c r="E1497" s="13" t="str">
        <f>IF(ISBLANK(D1497), "", VLOOKUP(D1497, Config!$F$6:$G$17, 2, FALSE()))</f>
        <v/>
      </c>
      <c r="F1497" s="16"/>
    </row>
    <row r="1498" ht="15.0" customHeight="1">
      <c r="A1498" s="12"/>
      <c r="B1498" s="13"/>
      <c r="C1498" s="8"/>
      <c r="D1498" s="8"/>
      <c r="E1498" s="13" t="str">
        <f>IF(ISBLANK(D1498), "", VLOOKUP(D1498, Config!$F$6:$G$17, 2, FALSE()))</f>
        <v/>
      </c>
      <c r="F1498" s="16"/>
    </row>
    <row r="1499" ht="15.0" customHeight="1">
      <c r="A1499" s="12"/>
      <c r="B1499" s="13"/>
      <c r="C1499" s="8"/>
      <c r="D1499" s="8"/>
      <c r="E1499" s="13" t="str">
        <f>IF(ISBLANK(D1499), "", VLOOKUP(D1499, Config!$F$6:$G$17, 2, FALSE()))</f>
        <v/>
      </c>
      <c r="F1499" s="16"/>
    </row>
    <row r="1500" ht="15.0" customHeight="1">
      <c r="A1500" s="12"/>
      <c r="B1500" s="13"/>
      <c r="C1500" s="8"/>
      <c r="D1500" s="8"/>
      <c r="E1500" s="13" t="str">
        <f>IF(ISBLANK(D1500), "", VLOOKUP(D1500, Config!$F$6:$G$17, 2, FALSE()))</f>
        <v/>
      </c>
      <c r="F1500" s="16"/>
    </row>
    <row r="1501" ht="15.0" customHeight="1">
      <c r="A1501" s="12"/>
      <c r="B1501" s="13"/>
      <c r="C1501" s="8"/>
      <c r="D1501" s="8"/>
      <c r="E1501" s="13" t="str">
        <f>IF(ISBLANK(D1501), "", VLOOKUP(D1501, Config!$F$6:$G$17, 2, FALSE()))</f>
        <v/>
      </c>
      <c r="F1501" s="16"/>
    </row>
    <row r="1502" ht="15.0" customHeight="1">
      <c r="A1502" s="12"/>
      <c r="B1502" s="13"/>
      <c r="C1502" s="8"/>
      <c r="D1502" s="8"/>
      <c r="E1502" s="13" t="str">
        <f>IF(ISBLANK(D1502), "", VLOOKUP(D1502, Config!$F$6:$G$17, 2, FALSE()))</f>
        <v/>
      </c>
      <c r="F1502" s="16"/>
    </row>
    <row r="1503" ht="15.0" customHeight="1">
      <c r="A1503" s="12"/>
      <c r="B1503" s="13"/>
      <c r="C1503" s="8"/>
      <c r="D1503" s="8"/>
      <c r="E1503" s="13" t="str">
        <f>IF(ISBLANK(D1503), "", VLOOKUP(D1503, Config!$F$6:$G$17, 2, FALSE()))</f>
        <v/>
      </c>
      <c r="F1503" s="16"/>
    </row>
    <row r="1504" ht="15.0" customHeight="1">
      <c r="A1504" s="12"/>
      <c r="B1504" s="13"/>
      <c r="C1504" s="8"/>
      <c r="D1504" s="8"/>
      <c r="E1504" s="13" t="str">
        <f>IF(ISBLANK(D1504), "", VLOOKUP(D1504, Config!$F$6:$G$17, 2, FALSE()))</f>
        <v/>
      </c>
      <c r="F1504" s="16"/>
    </row>
    <row r="1505" ht="15.0" customHeight="1">
      <c r="A1505" s="12"/>
      <c r="B1505" s="13"/>
      <c r="C1505" s="8"/>
      <c r="D1505" s="8"/>
      <c r="E1505" s="13" t="str">
        <f>IF(ISBLANK(D1505), "", VLOOKUP(D1505, Config!$F$6:$G$17, 2, FALSE()))</f>
        <v/>
      </c>
      <c r="F1505" s="16"/>
    </row>
    <row r="1506" ht="15.0" customHeight="1">
      <c r="A1506" s="12"/>
      <c r="B1506" s="13"/>
      <c r="C1506" s="8"/>
      <c r="D1506" s="8"/>
      <c r="E1506" s="13" t="str">
        <f>IF(ISBLANK(D1506), "", VLOOKUP(D1506, Config!$F$6:$G$17, 2, FALSE()))</f>
        <v/>
      </c>
      <c r="F1506" s="16"/>
    </row>
    <row r="1507" ht="15.0" customHeight="1">
      <c r="A1507" s="12"/>
      <c r="B1507" s="13"/>
      <c r="C1507" s="8"/>
      <c r="D1507" s="8"/>
      <c r="E1507" s="13" t="str">
        <f>IF(ISBLANK(D1507), "", VLOOKUP(D1507, Config!$F$6:$G$17, 2, FALSE()))</f>
        <v/>
      </c>
      <c r="F1507" s="16"/>
    </row>
    <row r="1508" ht="15.0" customHeight="1">
      <c r="A1508" s="12"/>
      <c r="B1508" s="13"/>
      <c r="C1508" s="8"/>
      <c r="D1508" s="8"/>
      <c r="E1508" s="13" t="str">
        <f>IF(ISBLANK(D1508), "", VLOOKUP(D1508, Config!$F$6:$G$17, 2, FALSE()))</f>
        <v/>
      </c>
      <c r="F1508" s="16"/>
    </row>
    <row r="1509" ht="15.0" customHeight="1">
      <c r="A1509" s="12"/>
      <c r="B1509" s="13"/>
      <c r="C1509" s="8"/>
      <c r="D1509" s="8"/>
      <c r="E1509" s="13" t="str">
        <f>IF(ISBLANK(D1509), "", VLOOKUP(D1509, Config!$F$6:$G$17, 2, FALSE()))</f>
        <v/>
      </c>
      <c r="F1509" s="16"/>
    </row>
    <row r="1510" ht="15.0" customHeight="1">
      <c r="A1510" s="12"/>
      <c r="B1510" s="13"/>
      <c r="C1510" s="8"/>
      <c r="D1510" s="8"/>
      <c r="E1510" s="13" t="str">
        <f>IF(ISBLANK(D1510), "", VLOOKUP(D1510, Config!$F$6:$G$17, 2, FALSE()))</f>
        <v/>
      </c>
      <c r="F1510" s="16"/>
    </row>
    <row r="1511" ht="15.0" customHeight="1">
      <c r="A1511" s="12"/>
      <c r="B1511" s="13"/>
      <c r="C1511" s="8"/>
      <c r="D1511" s="8"/>
      <c r="E1511" s="13" t="str">
        <f>IF(ISBLANK(D1511), "", VLOOKUP(D1511, Config!$F$6:$G$17, 2, FALSE()))</f>
        <v/>
      </c>
      <c r="F1511" s="16"/>
    </row>
    <row r="1512" ht="15.0" customHeight="1">
      <c r="A1512" s="12"/>
      <c r="B1512" s="13"/>
      <c r="C1512" s="8"/>
      <c r="D1512" s="8"/>
      <c r="E1512" s="13" t="str">
        <f>IF(ISBLANK(D1512), "", VLOOKUP(D1512, Config!$F$6:$G$17, 2, FALSE()))</f>
        <v/>
      </c>
      <c r="F1512" s="16"/>
    </row>
    <row r="1513" ht="15.0" customHeight="1">
      <c r="A1513" s="12"/>
      <c r="B1513" s="13"/>
      <c r="C1513" s="8"/>
      <c r="D1513" s="8"/>
      <c r="E1513" s="13" t="str">
        <f>IF(ISBLANK(D1513), "", VLOOKUP(D1513, Config!$F$6:$G$17, 2, FALSE()))</f>
        <v/>
      </c>
      <c r="F1513" s="16"/>
    </row>
    <row r="1514" ht="15.0" customHeight="1">
      <c r="A1514" s="12"/>
      <c r="B1514" s="13"/>
      <c r="C1514" s="8"/>
      <c r="D1514" s="8"/>
      <c r="E1514" s="13" t="str">
        <f>IF(ISBLANK(D1514), "", VLOOKUP(D1514, Config!$F$6:$G$17, 2, FALSE()))</f>
        <v/>
      </c>
      <c r="F1514" s="16"/>
    </row>
    <row r="1515" ht="15.0" customHeight="1">
      <c r="A1515" s="12"/>
      <c r="B1515" s="13"/>
      <c r="C1515" s="8"/>
      <c r="D1515" s="8"/>
      <c r="E1515" s="13" t="str">
        <f>IF(ISBLANK(D1515), "", VLOOKUP(D1515, Config!$F$6:$G$17, 2, FALSE()))</f>
        <v/>
      </c>
      <c r="F1515" s="16"/>
    </row>
    <row r="1516" ht="15.0" customHeight="1">
      <c r="A1516" s="12"/>
      <c r="B1516" s="13"/>
      <c r="C1516" s="8"/>
      <c r="D1516" s="8"/>
      <c r="E1516" s="13" t="str">
        <f>IF(ISBLANK(D1516), "", VLOOKUP(D1516, Config!$F$6:$G$17, 2, FALSE()))</f>
        <v/>
      </c>
      <c r="F1516" s="16"/>
    </row>
    <row r="1517" ht="15.0" customHeight="1">
      <c r="A1517" s="12"/>
      <c r="B1517" s="13"/>
      <c r="C1517" s="8"/>
      <c r="D1517" s="8"/>
      <c r="E1517" s="13" t="str">
        <f>IF(ISBLANK(D1517), "", VLOOKUP(D1517, Config!$F$6:$G$17, 2, FALSE()))</f>
        <v/>
      </c>
      <c r="F1517" s="16"/>
    </row>
    <row r="1518" ht="15.0" customHeight="1">
      <c r="A1518" s="12"/>
      <c r="B1518" s="13"/>
      <c r="C1518" s="8"/>
      <c r="D1518" s="8"/>
      <c r="E1518" s="13" t="str">
        <f>IF(ISBLANK(D1518), "", VLOOKUP(D1518, Config!$F$6:$G$17, 2, FALSE()))</f>
        <v/>
      </c>
      <c r="F1518" s="16"/>
    </row>
    <row r="1519" ht="15.0" customHeight="1">
      <c r="A1519" s="12"/>
      <c r="B1519" s="13"/>
      <c r="C1519" s="8"/>
      <c r="D1519" s="8"/>
      <c r="E1519" s="13" t="str">
        <f>IF(ISBLANK(D1519), "", VLOOKUP(D1519, Config!$F$6:$G$17, 2, FALSE()))</f>
        <v/>
      </c>
      <c r="F1519" s="16"/>
    </row>
    <row r="1520" ht="15.0" customHeight="1">
      <c r="A1520" s="12"/>
      <c r="B1520" s="13"/>
      <c r="C1520" s="8"/>
      <c r="D1520" s="8"/>
      <c r="E1520" s="13" t="str">
        <f>IF(ISBLANK(D1520), "", VLOOKUP(D1520, Config!$F$6:$G$17, 2, FALSE()))</f>
        <v/>
      </c>
      <c r="F1520" s="16"/>
    </row>
    <row r="1521" ht="15.0" customHeight="1">
      <c r="A1521" s="12"/>
      <c r="B1521" s="13"/>
      <c r="C1521" s="8"/>
      <c r="D1521" s="8"/>
      <c r="E1521" s="13" t="str">
        <f>IF(ISBLANK(D1521), "", VLOOKUP(D1521, Config!$F$6:$G$17, 2, FALSE()))</f>
        <v/>
      </c>
      <c r="F1521" s="16"/>
    </row>
    <row r="1522" ht="15.0" customHeight="1">
      <c r="A1522" s="12"/>
      <c r="B1522" s="13"/>
      <c r="C1522" s="8"/>
      <c r="D1522" s="8"/>
      <c r="E1522" s="13" t="str">
        <f>IF(ISBLANK(D1522), "", VLOOKUP(D1522, Config!$F$6:$G$17, 2, FALSE()))</f>
        <v/>
      </c>
      <c r="F1522" s="16"/>
    </row>
    <row r="1523" ht="15.0" customHeight="1">
      <c r="A1523" s="12"/>
      <c r="B1523" s="13"/>
      <c r="C1523" s="8"/>
      <c r="D1523" s="8"/>
      <c r="E1523" s="13" t="str">
        <f>IF(ISBLANK(D1523), "", VLOOKUP(D1523, Config!$F$6:$G$17, 2, FALSE()))</f>
        <v/>
      </c>
      <c r="F1523" s="16"/>
    </row>
    <row r="1524" ht="15.0" customHeight="1">
      <c r="A1524" s="12"/>
      <c r="B1524" s="13"/>
      <c r="C1524" s="8"/>
      <c r="D1524" s="8"/>
      <c r="E1524" s="13" t="str">
        <f>IF(ISBLANK(D1524), "", VLOOKUP(D1524, Config!$F$6:$G$17, 2, FALSE()))</f>
        <v/>
      </c>
      <c r="F1524" s="16"/>
    </row>
    <row r="1525" ht="15.0" customHeight="1">
      <c r="A1525" s="12"/>
      <c r="B1525" s="13"/>
      <c r="C1525" s="8"/>
      <c r="D1525" s="8"/>
      <c r="E1525" s="13" t="str">
        <f>IF(ISBLANK(D1525), "", VLOOKUP(D1525, Config!$F$6:$G$17, 2, FALSE()))</f>
        <v/>
      </c>
      <c r="F1525" s="16"/>
    </row>
    <row r="1526" ht="15.0" customHeight="1">
      <c r="A1526" s="12"/>
      <c r="B1526" s="13"/>
      <c r="C1526" s="8"/>
      <c r="D1526" s="8"/>
      <c r="E1526" s="13" t="str">
        <f>IF(ISBLANK(D1526), "", VLOOKUP(D1526, Config!$F$6:$G$17, 2, FALSE()))</f>
        <v/>
      </c>
      <c r="F1526" s="16"/>
    </row>
    <row r="1527" ht="15.0" customHeight="1">
      <c r="A1527" s="12"/>
      <c r="B1527" s="13"/>
      <c r="C1527" s="8"/>
      <c r="D1527" s="8"/>
      <c r="E1527" s="13" t="str">
        <f>IF(ISBLANK(D1527), "", VLOOKUP(D1527, Config!$F$6:$G$17, 2, FALSE()))</f>
        <v/>
      </c>
      <c r="F1527" s="16"/>
    </row>
    <row r="1528" ht="15.0" customHeight="1">
      <c r="A1528" s="12"/>
      <c r="B1528" s="13"/>
      <c r="C1528" s="8"/>
      <c r="D1528" s="8"/>
      <c r="E1528" s="13" t="str">
        <f>IF(ISBLANK(D1528), "", VLOOKUP(D1528, Config!$F$6:$G$17, 2, FALSE()))</f>
        <v/>
      </c>
      <c r="F1528" s="16"/>
    </row>
    <row r="1529" ht="15.0" customHeight="1">
      <c r="A1529" s="12"/>
      <c r="B1529" s="13"/>
      <c r="C1529" s="8"/>
      <c r="D1529" s="8"/>
      <c r="E1529" s="13" t="str">
        <f>IF(ISBLANK(D1529), "", VLOOKUP(D1529, Config!$F$6:$G$17, 2, FALSE()))</f>
        <v/>
      </c>
      <c r="F1529" s="16"/>
    </row>
    <row r="1530" ht="15.0" customHeight="1">
      <c r="A1530" s="12"/>
      <c r="B1530" s="13"/>
      <c r="C1530" s="8"/>
      <c r="D1530" s="8"/>
      <c r="E1530" s="13" t="str">
        <f>IF(ISBLANK(D1530), "", VLOOKUP(D1530, Config!$F$6:$G$17, 2, FALSE()))</f>
        <v/>
      </c>
      <c r="F1530" s="16"/>
    </row>
    <row r="1531" ht="15.0" customHeight="1">
      <c r="A1531" s="12"/>
      <c r="B1531" s="13"/>
      <c r="C1531" s="8"/>
      <c r="D1531" s="8"/>
      <c r="E1531" s="13" t="str">
        <f>IF(ISBLANK(D1531), "", VLOOKUP(D1531, Config!$F$6:$G$17, 2, FALSE()))</f>
        <v/>
      </c>
      <c r="F1531" s="16"/>
    </row>
    <row r="1532" ht="15.0" customHeight="1">
      <c r="A1532" s="12"/>
      <c r="B1532" s="13"/>
      <c r="C1532" s="8"/>
      <c r="D1532" s="8"/>
      <c r="E1532" s="13" t="str">
        <f>IF(ISBLANK(D1532), "", VLOOKUP(D1532, Config!$F$6:$G$17, 2, FALSE()))</f>
        <v/>
      </c>
      <c r="F1532" s="16"/>
    </row>
    <row r="1533" ht="15.0" customHeight="1">
      <c r="A1533" s="12"/>
      <c r="B1533" s="13"/>
      <c r="C1533" s="8"/>
      <c r="D1533" s="8"/>
      <c r="E1533" s="13" t="str">
        <f>IF(ISBLANK(D1533), "", VLOOKUP(D1533, Config!$F$6:$G$17, 2, FALSE()))</f>
        <v/>
      </c>
      <c r="F1533" s="16"/>
    </row>
    <row r="1534" ht="15.0" customHeight="1">
      <c r="A1534" s="12"/>
      <c r="B1534" s="13"/>
      <c r="C1534" s="8"/>
      <c r="D1534" s="8"/>
      <c r="E1534" s="13" t="str">
        <f>IF(ISBLANK(D1534), "", VLOOKUP(D1534, Config!$F$6:$G$17, 2, FALSE()))</f>
        <v/>
      </c>
      <c r="F1534" s="16"/>
    </row>
    <row r="1535" ht="15.0" customHeight="1">
      <c r="A1535" s="12"/>
      <c r="B1535" s="13"/>
      <c r="C1535" s="8"/>
      <c r="D1535" s="8"/>
      <c r="E1535" s="13" t="str">
        <f>IF(ISBLANK(D1535), "", VLOOKUP(D1535, Config!$F$6:$G$17, 2, FALSE()))</f>
        <v/>
      </c>
      <c r="F1535" s="16"/>
    </row>
    <row r="1536" ht="15.0" customHeight="1">
      <c r="A1536" s="12"/>
      <c r="B1536" s="13"/>
      <c r="C1536" s="8"/>
      <c r="D1536" s="8"/>
      <c r="E1536" s="13" t="str">
        <f>IF(ISBLANK(D1536), "", VLOOKUP(D1536, Config!$F$6:$G$17, 2, FALSE()))</f>
        <v/>
      </c>
      <c r="F1536" s="16"/>
    </row>
    <row r="1537" ht="15.0" customHeight="1">
      <c r="A1537" s="12"/>
      <c r="B1537" s="13"/>
      <c r="C1537" s="8"/>
      <c r="D1537" s="8"/>
      <c r="E1537" s="13" t="str">
        <f>IF(ISBLANK(D1537), "", VLOOKUP(D1537, Config!$F$6:$G$17, 2, FALSE()))</f>
        <v/>
      </c>
      <c r="F1537" s="16"/>
    </row>
    <row r="1538" ht="15.0" customHeight="1">
      <c r="A1538" s="12"/>
      <c r="B1538" s="13"/>
      <c r="C1538" s="8"/>
      <c r="D1538" s="8"/>
      <c r="E1538" s="13" t="str">
        <f>IF(ISBLANK(D1538), "", VLOOKUP(D1538, Config!$F$6:$G$17, 2, FALSE()))</f>
        <v/>
      </c>
      <c r="F1538" s="16"/>
    </row>
    <row r="1539" ht="15.0" customHeight="1">
      <c r="A1539" s="12"/>
      <c r="B1539" s="13"/>
      <c r="C1539" s="8"/>
      <c r="D1539" s="8"/>
      <c r="E1539" s="13" t="str">
        <f>IF(ISBLANK(D1539), "", VLOOKUP(D1539, Config!$F$6:$G$17, 2, FALSE()))</f>
        <v/>
      </c>
      <c r="F1539" s="16"/>
    </row>
    <row r="1540" ht="15.0" customHeight="1">
      <c r="A1540" s="12"/>
      <c r="B1540" s="13"/>
      <c r="C1540" s="8"/>
      <c r="D1540" s="8"/>
      <c r="E1540" s="13" t="str">
        <f>IF(ISBLANK(D1540), "", VLOOKUP(D1540, Config!$F$6:$G$17, 2, FALSE()))</f>
        <v/>
      </c>
      <c r="F1540" s="16"/>
    </row>
    <row r="1541" ht="15.0" customHeight="1">
      <c r="A1541" s="12"/>
      <c r="B1541" s="13"/>
      <c r="C1541" s="8"/>
      <c r="D1541" s="8"/>
      <c r="E1541" s="13" t="str">
        <f>IF(ISBLANK(D1541), "", VLOOKUP(D1541, Config!$F$6:$G$17, 2, FALSE()))</f>
        <v/>
      </c>
      <c r="F1541" s="16"/>
    </row>
    <row r="1542" ht="15.0" customHeight="1">
      <c r="A1542" s="12"/>
      <c r="B1542" s="13"/>
      <c r="C1542" s="8"/>
      <c r="D1542" s="8"/>
      <c r="E1542" s="13" t="str">
        <f>IF(ISBLANK(D1542), "", VLOOKUP(D1542, Config!$F$6:$G$17, 2, FALSE()))</f>
        <v/>
      </c>
      <c r="F1542" s="16"/>
    </row>
    <row r="1543" ht="15.0" customHeight="1">
      <c r="A1543" s="12"/>
      <c r="B1543" s="13"/>
      <c r="C1543" s="8"/>
      <c r="D1543" s="8"/>
      <c r="E1543" s="13" t="str">
        <f>IF(ISBLANK(D1543), "", VLOOKUP(D1543, Config!$F$6:$G$17, 2, FALSE()))</f>
        <v/>
      </c>
      <c r="F1543" s="16"/>
    </row>
    <row r="1544" ht="15.0" customHeight="1">
      <c r="A1544" s="12"/>
      <c r="B1544" s="13"/>
      <c r="C1544" s="8"/>
      <c r="D1544" s="8"/>
      <c r="E1544" s="13" t="str">
        <f>IF(ISBLANK(D1544), "", VLOOKUP(D1544, Config!$F$6:$G$17, 2, FALSE()))</f>
        <v/>
      </c>
      <c r="F1544" s="16"/>
    </row>
    <row r="1545" ht="15.0" customHeight="1">
      <c r="A1545" s="12"/>
      <c r="B1545" s="13"/>
      <c r="C1545" s="8"/>
      <c r="D1545" s="8"/>
      <c r="E1545" s="13" t="str">
        <f>IF(ISBLANK(D1545), "", VLOOKUP(D1545, Config!$F$6:$G$17, 2, FALSE()))</f>
        <v/>
      </c>
      <c r="F1545" s="16"/>
    </row>
    <row r="1546" ht="15.0" customHeight="1">
      <c r="A1546" s="12"/>
      <c r="B1546" s="13"/>
      <c r="C1546" s="8"/>
      <c r="D1546" s="8"/>
      <c r="E1546" s="13" t="str">
        <f>IF(ISBLANK(D1546), "", VLOOKUP(D1546, Config!$F$6:$G$17, 2, FALSE()))</f>
        <v/>
      </c>
      <c r="F1546" s="16"/>
    </row>
    <row r="1547" ht="15.0" customHeight="1">
      <c r="A1547" s="12"/>
      <c r="B1547" s="13"/>
      <c r="C1547" s="8"/>
      <c r="D1547" s="8"/>
      <c r="E1547" s="13" t="str">
        <f>IF(ISBLANK(D1547), "", VLOOKUP(D1547, Config!$F$6:$G$17, 2, FALSE()))</f>
        <v/>
      </c>
      <c r="F1547" s="16"/>
    </row>
    <row r="1548" ht="15.0" customHeight="1">
      <c r="A1548" s="12"/>
      <c r="B1548" s="13"/>
      <c r="C1548" s="8"/>
      <c r="D1548" s="8"/>
      <c r="E1548" s="13" t="str">
        <f>IF(ISBLANK(D1548), "", VLOOKUP(D1548, Config!$F$6:$G$17, 2, FALSE()))</f>
        <v/>
      </c>
      <c r="F1548" s="16"/>
    </row>
    <row r="1549" ht="15.0" customHeight="1">
      <c r="A1549" s="12"/>
      <c r="B1549" s="13"/>
      <c r="C1549" s="8"/>
      <c r="D1549" s="8"/>
      <c r="E1549" s="13" t="str">
        <f>IF(ISBLANK(D1549), "", VLOOKUP(D1549, Config!$F$6:$G$17, 2, FALSE()))</f>
        <v/>
      </c>
      <c r="F1549" s="16"/>
    </row>
    <row r="1550" ht="15.0" customHeight="1">
      <c r="A1550" s="12"/>
      <c r="B1550" s="13"/>
      <c r="C1550" s="8"/>
      <c r="D1550" s="8"/>
      <c r="E1550" s="13" t="str">
        <f>IF(ISBLANK(D1550), "", VLOOKUP(D1550, Config!$F$6:$G$17, 2, FALSE()))</f>
        <v/>
      </c>
      <c r="F1550" s="16"/>
    </row>
    <row r="1551" ht="15.0" customHeight="1">
      <c r="A1551" s="12"/>
      <c r="B1551" s="13"/>
      <c r="C1551" s="8"/>
      <c r="D1551" s="8"/>
      <c r="E1551" s="13" t="str">
        <f>IF(ISBLANK(D1551), "", VLOOKUP(D1551, Config!$F$6:$G$17, 2, FALSE()))</f>
        <v/>
      </c>
      <c r="F1551" s="16"/>
    </row>
    <row r="1552" ht="15.0" customHeight="1">
      <c r="A1552" s="12"/>
      <c r="B1552" s="13"/>
      <c r="C1552" s="8"/>
      <c r="D1552" s="8"/>
      <c r="E1552" s="13" t="str">
        <f>IF(ISBLANK(D1552), "", VLOOKUP(D1552, Config!$F$6:$G$17, 2, FALSE()))</f>
        <v/>
      </c>
      <c r="F1552" s="16"/>
    </row>
    <row r="1553" ht="15.0" customHeight="1">
      <c r="A1553" s="12"/>
      <c r="B1553" s="13"/>
      <c r="C1553" s="8"/>
      <c r="D1553" s="8"/>
      <c r="E1553" s="13" t="str">
        <f>IF(ISBLANK(D1553), "", VLOOKUP(D1553, Config!$F$6:$G$17, 2, FALSE()))</f>
        <v/>
      </c>
      <c r="F1553" s="16"/>
    </row>
    <row r="1554" ht="15.0" customHeight="1">
      <c r="A1554" s="12"/>
      <c r="B1554" s="13"/>
      <c r="C1554" s="8"/>
      <c r="D1554" s="8"/>
      <c r="E1554" s="13" t="str">
        <f>IF(ISBLANK(D1554), "", VLOOKUP(D1554, Config!$F$6:$G$17, 2, FALSE()))</f>
        <v/>
      </c>
      <c r="F1554" s="16"/>
    </row>
    <row r="1555" ht="15.0" customHeight="1">
      <c r="A1555" s="12"/>
      <c r="B1555" s="13"/>
      <c r="C1555" s="8"/>
      <c r="D1555" s="8"/>
      <c r="E1555" s="13" t="str">
        <f>IF(ISBLANK(D1555), "", VLOOKUP(D1555, Config!$F$6:$G$17, 2, FALSE()))</f>
        <v/>
      </c>
      <c r="F1555" s="16"/>
    </row>
    <row r="1556" ht="15.0" customHeight="1">
      <c r="A1556" s="12"/>
      <c r="B1556" s="13"/>
      <c r="C1556" s="8"/>
      <c r="D1556" s="8"/>
      <c r="E1556" s="13" t="str">
        <f>IF(ISBLANK(D1556), "", VLOOKUP(D1556, Config!$F$6:$G$17, 2, FALSE()))</f>
        <v/>
      </c>
      <c r="F1556" s="16"/>
    </row>
    <row r="1557" ht="15.0" customHeight="1">
      <c r="A1557" s="12"/>
      <c r="B1557" s="13"/>
      <c r="C1557" s="8"/>
      <c r="D1557" s="8"/>
      <c r="E1557" s="13" t="str">
        <f>IF(ISBLANK(D1557), "", VLOOKUP(D1557, Config!$F$6:$G$17, 2, FALSE()))</f>
        <v/>
      </c>
      <c r="F1557" s="16"/>
    </row>
    <row r="1558" ht="15.0" customHeight="1">
      <c r="A1558" s="12"/>
      <c r="B1558" s="13"/>
      <c r="C1558" s="8"/>
      <c r="D1558" s="8"/>
      <c r="E1558" s="13" t="str">
        <f>IF(ISBLANK(D1558), "", VLOOKUP(D1558, Config!$F$6:$G$17, 2, FALSE()))</f>
        <v/>
      </c>
      <c r="F1558" s="16"/>
    </row>
    <row r="1559" ht="15.0" customHeight="1">
      <c r="A1559" s="12"/>
      <c r="B1559" s="13"/>
      <c r="C1559" s="8"/>
      <c r="D1559" s="8"/>
      <c r="E1559" s="13" t="str">
        <f>IF(ISBLANK(D1559), "", VLOOKUP(D1559, Config!$F$6:$G$17, 2, FALSE()))</f>
        <v/>
      </c>
      <c r="F1559" s="16"/>
    </row>
    <row r="1560" ht="15.0" customHeight="1">
      <c r="A1560" s="12"/>
      <c r="B1560" s="13"/>
      <c r="C1560" s="8"/>
      <c r="D1560" s="8"/>
      <c r="E1560" s="13" t="str">
        <f>IF(ISBLANK(D1560), "", VLOOKUP(D1560, Config!$F$6:$G$17, 2, FALSE()))</f>
        <v/>
      </c>
      <c r="F1560" s="16"/>
    </row>
    <row r="1561" ht="15.0" customHeight="1">
      <c r="A1561" s="12"/>
      <c r="B1561" s="13"/>
      <c r="C1561" s="8"/>
      <c r="D1561" s="8"/>
      <c r="E1561" s="13" t="str">
        <f>IF(ISBLANK(D1561), "", VLOOKUP(D1561, Config!$F$6:$G$17, 2, FALSE()))</f>
        <v/>
      </c>
      <c r="F1561" s="16"/>
    </row>
    <row r="1562" ht="15.0" customHeight="1">
      <c r="A1562" s="12"/>
      <c r="B1562" s="13"/>
      <c r="C1562" s="8"/>
      <c r="D1562" s="8"/>
      <c r="E1562" s="13" t="str">
        <f>IF(ISBLANK(D1562), "", VLOOKUP(D1562, Config!$F$6:$G$17, 2, FALSE()))</f>
        <v/>
      </c>
      <c r="F1562" s="16"/>
    </row>
    <row r="1563" ht="15.0" customHeight="1">
      <c r="A1563" s="12"/>
      <c r="B1563" s="13"/>
      <c r="C1563" s="8"/>
      <c r="D1563" s="8"/>
      <c r="E1563" s="13" t="str">
        <f>IF(ISBLANK(D1563), "", VLOOKUP(D1563, Config!$F$6:$G$17, 2, FALSE()))</f>
        <v/>
      </c>
      <c r="F1563" s="16"/>
    </row>
    <row r="1564" ht="15.0" customHeight="1">
      <c r="A1564" s="12"/>
      <c r="B1564" s="13"/>
      <c r="C1564" s="8"/>
      <c r="D1564" s="8"/>
      <c r="E1564" s="13" t="str">
        <f>IF(ISBLANK(D1564), "", VLOOKUP(D1564, Config!$F$6:$G$17, 2, FALSE()))</f>
        <v/>
      </c>
      <c r="F1564" s="16"/>
    </row>
    <row r="1565" ht="15.0" customHeight="1">
      <c r="A1565" s="12"/>
      <c r="B1565" s="13"/>
      <c r="C1565" s="8"/>
      <c r="D1565" s="8"/>
      <c r="E1565" s="13" t="str">
        <f>IF(ISBLANK(D1565), "", VLOOKUP(D1565, Config!$F$6:$G$17, 2, FALSE()))</f>
        <v/>
      </c>
      <c r="F1565" s="16"/>
    </row>
    <row r="1566" ht="15.0" customHeight="1">
      <c r="A1566" s="12"/>
      <c r="B1566" s="13"/>
      <c r="C1566" s="8"/>
      <c r="D1566" s="8"/>
      <c r="E1566" s="13" t="str">
        <f>IF(ISBLANK(D1566), "", VLOOKUP(D1566, Config!$F$6:$G$17, 2, FALSE()))</f>
        <v/>
      </c>
      <c r="F1566" s="16"/>
    </row>
    <row r="1567" ht="15.0" customHeight="1">
      <c r="A1567" s="12"/>
      <c r="B1567" s="13"/>
      <c r="C1567" s="8"/>
      <c r="D1567" s="8"/>
      <c r="E1567" s="13" t="str">
        <f>IF(ISBLANK(D1567), "", VLOOKUP(D1567, Config!$F$6:$G$17, 2, FALSE()))</f>
        <v/>
      </c>
      <c r="F1567" s="16"/>
    </row>
    <row r="1568" ht="15.0" customHeight="1">
      <c r="A1568" s="12"/>
      <c r="B1568" s="13"/>
      <c r="C1568" s="8"/>
      <c r="D1568" s="8"/>
      <c r="E1568" s="13" t="str">
        <f>IF(ISBLANK(D1568), "", VLOOKUP(D1568, Config!$F$6:$G$17, 2, FALSE()))</f>
        <v/>
      </c>
      <c r="F1568" s="16"/>
    </row>
    <row r="1569" ht="15.0" customHeight="1">
      <c r="A1569" s="12"/>
      <c r="B1569" s="13"/>
      <c r="C1569" s="8"/>
      <c r="D1569" s="8"/>
      <c r="E1569" s="13" t="str">
        <f>IF(ISBLANK(D1569), "", VLOOKUP(D1569, Config!$F$6:$G$17, 2, FALSE()))</f>
        <v/>
      </c>
      <c r="F1569" s="16"/>
    </row>
    <row r="1570" ht="15.0" customHeight="1">
      <c r="A1570" s="12"/>
      <c r="B1570" s="13"/>
      <c r="C1570" s="8"/>
      <c r="D1570" s="8"/>
      <c r="E1570" s="13" t="str">
        <f>IF(ISBLANK(D1570), "", VLOOKUP(D1570, Config!$F$6:$G$17, 2, FALSE()))</f>
        <v/>
      </c>
      <c r="F1570" s="16"/>
    </row>
    <row r="1571" ht="15.0" customHeight="1">
      <c r="A1571" s="12"/>
      <c r="B1571" s="13"/>
      <c r="C1571" s="8"/>
      <c r="D1571" s="8"/>
      <c r="E1571" s="13" t="str">
        <f>IF(ISBLANK(D1571), "", VLOOKUP(D1571, Config!$F$6:$G$17, 2, FALSE()))</f>
        <v/>
      </c>
      <c r="F1571" s="16"/>
    </row>
    <row r="1572" ht="15.0" customHeight="1">
      <c r="A1572" s="12"/>
      <c r="B1572" s="13"/>
      <c r="C1572" s="8"/>
      <c r="D1572" s="8"/>
      <c r="E1572" s="13" t="str">
        <f>IF(ISBLANK(D1572), "", VLOOKUP(D1572, Config!$F$6:$G$17, 2, FALSE()))</f>
        <v/>
      </c>
      <c r="F1572" s="16"/>
    </row>
    <row r="1573" ht="15.0" customHeight="1">
      <c r="A1573" s="12"/>
      <c r="B1573" s="13"/>
      <c r="C1573" s="8"/>
      <c r="D1573" s="8"/>
      <c r="E1573" s="13" t="str">
        <f>IF(ISBLANK(D1573), "", VLOOKUP(D1573, Config!$F$6:$G$17, 2, FALSE()))</f>
        <v/>
      </c>
      <c r="F1573" s="16"/>
    </row>
    <row r="1574" ht="15.0" customHeight="1">
      <c r="A1574" s="12"/>
      <c r="B1574" s="13"/>
      <c r="C1574" s="8"/>
      <c r="D1574" s="8"/>
      <c r="E1574" s="13" t="str">
        <f>IF(ISBLANK(D1574), "", VLOOKUP(D1574, Config!$F$6:$G$17, 2, FALSE()))</f>
        <v/>
      </c>
      <c r="F1574" s="16"/>
    </row>
    <row r="1575" ht="15.0" customHeight="1">
      <c r="A1575" s="12"/>
      <c r="B1575" s="13"/>
      <c r="C1575" s="8"/>
      <c r="D1575" s="8"/>
      <c r="E1575" s="13" t="str">
        <f>IF(ISBLANK(D1575), "", VLOOKUP(D1575, Config!$F$6:$G$17, 2, FALSE()))</f>
        <v/>
      </c>
      <c r="F1575" s="16"/>
    </row>
    <row r="1576" ht="15.0" customHeight="1">
      <c r="A1576" s="12"/>
      <c r="B1576" s="13"/>
      <c r="C1576" s="8"/>
      <c r="D1576" s="8"/>
      <c r="E1576" s="13" t="str">
        <f>IF(ISBLANK(D1576), "", VLOOKUP(D1576, Config!$F$6:$G$17, 2, FALSE()))</f>
        <v/>
      </c>
      <c r="F1576" s="16"/>
    </row>
    <row r="1577" ht="15.0" customHeight="1">
      <c r="A1577" s="12"/>
      <c r="B1577" s="13"/>
      <c r="C1577" s="8"/>
      <c r="D1577" s="8"/>
      <c r="E1577" s="13" t="str">
        <f>IF(ISBLANK(D1577), "", VLOOKUP(D1577, Config!$F$6:$G$17, 2, FALSE()))</f>
        <v/>
      </c>
      <c r="F1577" s="16"/>
    </row>
    <row r="1578" ht="15.0" customHeight="1">
      <c r="A1578" s="12"/>
      <c r="B1578" s="13"/>
      <c r="C1578" s="8"/>
      <c r="D1578" s="8"/>
      <c r="E1578" s="13" t="str">
        <f>IF(ISBLANK(D1578), "", VLOOKUP(D1578, Config!$F$6:$G$17, 2, FALSE()))</f>
        <v/>
      </c>
      <c r="F1578" s="16"/>
    </row>
    <row r="1579" ht="15.0" customHeight="1">
      <c r="A1579" s="12"/>
      <c r="B1579" s="13"/>
      <c r="C1579" s="8"/>
      <c r="D1579" s="8"/>
      <c r="E1579" s="13" t="str">
        <f>IF(ISBLANK(D1579), "", VLOOKUP(D1579, Config!$F$6:$G$17, 2, FALSE()))</f>
        <v/>
      </c>
      <c r="F1579" s="16"/>
    </row>
    <row r="1580" ht="15.0" customHeight="1">
      <c r="A1580" s="12"/>
      <c r="B1580" s="13"/>
      <c r="C1580" s="8"/>
      <c r="D1580" s="8"/>
      <c r="E1580" s="13" t="str">
        <f>IF(ISBLANK(D1580), "", VLOOKUP(D1580, Config!$F$6:$G$17, 2, FALSE()))</f>
        <v/>
      </c>
      <c r="F1580" s="16"/>
    </row>
    <row r="1581" ht="15.0" customHeight="1">
      <c r="A1581" s="12"/>
      <c r="B1581" s="13"/>
      <c r="C1581" s="8"/>
      <c r="D1581" s="8"/>
      <c r="E1581" s="13" t="str">
        <f>IF(ISBLANK(D1581), "", VLOOKUP(D1581, Config!$F$6:$G$17, 2, FALSE()))</f>
        <v/>
      </c>
      <c r="F1581" s="16"/>
    </row>
    <row r="1582" ht="15.0" customHeight="1">
      <c r="A1582" s="12"/>
      <c r="B1582" s="13"/>
      <c r="C1582" s="8"/>
      <c r="D1582" s="8"/>
      <c r="E1582" s="13" t="str">
        <f>IF(ISBLANK(D1582), "", VLOOKUP(D1582, Config!$F$6:$G$17, 2, FALSE()))</f>
        <v/>
      </c>
      <c r="F1582" s="16"/>
    </row>
    <row r="1583" ht="15.0" customHeight="1">
      <c r="A1583" s="12"/>
      <c r="B1583" s="13"/>
      <c r="C1583" s="8"/>
      <c r="D1583" s="8"/>
      <c r="E1583" s="13" t="str">
        <f>IF(ISBLANK(D1583), "", VLOOKUP(D1583, Config!$F$6:$G$17, 2, FALSE()))</f>
        <v/>
      </c>
      <c r="F1583" s="16"/>
    </row>
    <row r="1584" ht="15.0" customHeight="1">
      <c r="A1584" s="12"/>
      <c r="B1584" s="13"/>
      <c r="C1584" s="8"/>
      <c r="D1584" s="8"/>
      <c r="E1584" s="13" t="str">
        <f>IF(ISBLANK(D1584), "", VLOOKUP(D1584, Config!$F$6:$G$17, 2, FALSE()))</f>
        <v/>
      </c>
      <c r="F1584" s="16"/>
    </row>
    <row r="1585" ht="15.0" customHeight="1">
      <c r="A1585" s="12"/>
      <c r="B1585" s="13"/>
      <c r="C1585" s="8"/>
      <c r="D1585" s="8"/>
      <c r="E1585" s="13" t="str">
        <f>IF(ISBLANK(D1585), "", VLOOKUP(D1585, Config!$F$6:$G$17, 2, FALSE()))</f>
        <v/>
      </c>
      <c r="F1585" s="16"/>
    </row>
    <row r="1586" ht="15.0" customHeight="1">
      <c r="A1586" s="12"/>
      <c r="B1586" s="13"/>
      <c r="C1586" s="8"/>
      <c r="D1586" s="8"/>
      <c r="E1586" s="13" t="str">
        <f>IF(ISBLANK(D1586), "", VLOOKUP(D1586, Config!$F$6:$G$17, 2, FALSE()))</f>
        <v/>
      </c>
      <c r="F1586" s="16"/>
    </row>
    <row r="1587" ht="15.0" customHeight="1">
      <c r="A1587" s="12"/>
      <c r="B1587" s="13"/>
      <c r="C1587" s="8"/>
      <c r="D1587" s="8"/>
      <c r="E1587" s="13" t="str">
        <f>IF(ISBLANK(D1587), "", VLOOKUP(D1587, Config!$F$6:$G$17, 2, FALSE()))</f>
        <v/>
      </c>
      <c r="F1587" s="16"/>
    </row>
    <row r="1588" ht="15.0" customHeight="1">
      <c r="A1588" s="12"/>
      <c r="B1588" s="13"/>
      <c r="C1588" s="8"/>
      <c r="D1588" s="8"/>
      <c r="E1588" s="13" t="str">
        <f>IF(ISBLANK(D1588), "", VLOOKUP(D1588, Config!$F$6:$G$17, 2, FALSE()))</f>
        <v/>
      </c>
      <c r="F1588" s="16"/>
    </row>
    <row r="1589" ht="15.0" customHeight="1">
      <c r="A1589" s="12"/>
      <c r="B1589" s="13"/>
      <c r="C1589" s="8"/>
      <c r="D1589" s="8"/>
      <c r="E1589" s="13" t="str">
        <f>IF(ISBLANK(D1589), "", VLOOKUP(D1589, Config!$F$6:$G$17, 2, FALSE()))</f>
        <v/>
      </c>
      <c r="F1589" s="16"/>
    </row>
    <row r="1590" ht="15.0" customHeight="1">
      <c r="A1590" s="12"/>
      <c r="B1590" s="13"/>
      <c r="C1590" s="8"/>
      <c r="D1590" s="8"/>
      <c r="E1590" s="13" t="str">
        <f>IF(ISBLANK(D1590), "", VLOOKUP(D1590, Config!$F$6:$G$17, 2, FALSE()))</f>
        <v/>
      </c>
      <c r="F1590" s="16"/>
    </row>
    <row r="1591" ht="15.0" customHeight="1">
      <c r="A1591" s="12"/>
      <c r="B1591" s="13"/>
      <c r="C1591" s="8"/>
      <c r="D1591" s="8"/>
      <c r="E1591" s="13" t="str">
        <f>IF(ISBLANK(D1591), "", VLOOKUP(D1591, Config!$F$6:$G$17, 2, FALSE()))</f>
        <v/>
      </c>
      <c r="F1591" s="16"/>
    </row>
    <row r="1592" ht="15.0" customHeight="1">
      <c r="A1592" s="12"/>
      <c r="B1592" s="13"/>
      <c r="C1592" s="8"/>
      <c r="D1592" s="8"/>
      <c r="E1592" s="13" t="str">
        <f>IF(ISBLANK(D1592), "", VLOOKUP(D1592, Config!$F$6:$G$17, 2, FALSE()))</f>
        <v/>
      </c>
      <c r="F1592" s="16"/>
    </row>
    <row r="1593" ht="15.0" customHeight="1">
      <c r="A1593" s="12"/>
      <c r="B1593" s="13"/>
      <c r="C1593" s="8"/>
      <c r="D1593" s="8"/>
      <c r="E1593" s="13" t="str">
        <f>IF(ISBLANK(D1593), "", VLOOKUP(D1593, Config!$F$6:$G$17, 2, FALSE()))</f>
        <v/>
      </c>
      <c r="F1593" s="16"/>
    </row>
    <row r="1594" ht="15.0" customHeight="1">
      <c r="A1594" s="12"/>
      <c r="B1594" s="13"/>
      <c r="C1594" s="8"/>
      <c r="D1594" s="8"/>
      <c r="E1594" s="13" t="str">
        <f>IF(ISBLANK(D1594), "", VLOOKUP(D1594, Config!$F$6:$G$17, 2, FALSE()))</f>
        <v/>
      </c>
      <c r="F1594" s="16"/>
    </row>
    <row r="1595" ht="15.0" customHeight="1">
      <c r="A1595" s="12"/>
      <c r="B1595" s="13"/>
      <c r="C1595" s="8"/>
      <c r="D1595" s="8"/>
      <c r="E1595" s="13" t="str">
        <f>IF(ISBLANK(D1595), "", VLOOKUP(D1595, Config!$F$6:$G$17, 2, FALSE()))</f>
        <v/>
      </c>
      <c r="F1595" s="16"/>
    </row>
    <row r="1596" ht="15.0" customHeight="1">
      <c r="A1596" s="12"/>
      <c r="B1596" s="13"/>
      <c r="C1596" s="8"/>
      <c r="D1596" s="8"/>
      <c r="E1596" s="13" t="str">
        <f>IF(ISBLANK(D1596), "", VLOOKUP(D1596, Config!$F$6:$G$17, 2, FALSE()))</f>
        <v/>
      </c>
      <c r="F1596" s="16"/>
    </row>
    <row r="1597" ht="15.0" customHeight="1">
      <c r="A1597" s="12"/>
      <c r="B1597" s="13"/>
      <c r="C1597" s="8"/>
      <c r="D1597" s="8"/>
      <c r="E1597" s="13" t="str">
        <f>IF(ISBLANK(D1597), "", VLOOKUP(D1597, Config!$F$6:$G$17, 2, FALSE()))</f>
        <v/>
      </c>
      <c r="F1597" s="16"/>
    </row>
    <row r="1598" ht="15.0" customHeight="1">
      <c r="A1598" s="12"/>
      <c r="B1598" s="13"/>
      <c r="C1598" s="8"/>
      <c r="D1598" s="8"/>
      <c r="E1598" s="13" t="str">
        <f>IF(ISBLANK(D1598), "", VLOOKUP(D1598, Config!$F$6:$G$17, 2, FALSE()))</f>
        <v/>
      </c>
      <c r="F1598" s="16"/>
    </row>
    <row r="1599" ht="15.0" customHeight="1">
      <c r="A1599" s="12"/>
      <c r="B1599" s="13"/>
      <c r="C1599" s="8"/>
      <c r="D1599" s="8"/>
      <c r="E1599" s="13" t="str">
        <f>IF(ISBLANK(D1599), "", VLOOKUP(D1599, Config!$F$6:$G$17, 2, FALSE()))</f>
        <v/>
      </c>
      <c r="F1599" s="16"/>
    </row>
    <row r="1600" ht="15.0" customHeight="1">
      <c r="A1600" s="12"/>
      <c r="B1600" s="13"/>
      <c r="C1600" s="8"/>
      <c r="D1600" s="8"/>
      <c r="E1600" s="13" t="str">
        <f>IF(ISBLANK(D1600), "", VLOOKUP(D1600, Config!$F$6:$G$17, 2, FALSE()))</f>
        <v/>
      </c>
      <c r="F1600" s="16"/>
    </row>
    <row r="1601" ht="15.0" customHeight="1">
      <c r="A1601" s="12"/>
      <c r="B1601" s="13"/>
      <c r="C1601" s="8"/>
      <c r="D1601" s="8"/>
      <c r="E1601" s="13" t="str">
        <f>IF(ISBLANK(D1601), "", VLOOKUP(D1601, Config!$F$6:$G$17, 2, FALSE()))</f>
        <v/>
      </c>
      <c r="F1601" s="16"/>
    </row>
    <row r="1602" ht="15.0" customHeight="1">
      <c r="A1602" s="12"/>
      <c r="B1602" s="13"/>
      <c r="C1602" s="8"/>
      <c r="D1602" s="8"/>
      <c r="E1602" s="13" t="str">
        <f>IF(ISBLANK(D1602), "", VLOOKUP(D1602, Config!$F$6:$G$17, 2, FALSE()))</f>
        <v/>
      </c>
      <c r="F1602" s="16"/>
    </row>
    <row r="1603" ht="15.0" customHeight="1">
      <c r="A1603" s="12"/>
      <c r="B1603" s="13"/>
      <c r="C1603" s="8"/>
      <c r="D1603" s="8"/>
      <c r="E1603" s="13" t="str">
        <f>IF(ISBLANK(D1603), "", VLOOKUP(D1603, Config!$F$6:$G$17, 2, FALSE()))</f>
        <v/>
      </c>
      <c r="F1603" s="16"/>
    </row>
    <row r="1604" ht="15.0" customHeight="1">
      <c r="A1604" s="12"/>
      <c r="B1604" s="13"/>
      <c r="C1604" s="8"/>
      <c r="D1604" s="8"/>
      <c r="E1604" s="13" t="str">
        <f>IF(ISBLANK(D1604), "", VLOOKUP(D1604, Config!$F$6:$G$17, 2, FALSE()))</f>
        <v/>
      </c>
      <c r="F1604" s="16"/>
    </row>
    <row r="1605" ht="15.0" customHeight="1">
      <c r="A1605" s="12"/>
      <c r="B1605" s="13"/>
      <c r="C1605" s="8"/>
      <c r="D1605" s="8"/>
      <c r="E1605" s="13" t="str">
        <f>IF(ISBLANK(D1605), "", VLOOKUP(D1605, Config!$F$6:$G$17, 2, FALSE()))</f>
        <v/>
      </c>
      <c r="F1605" s="16"/>
    </row>
    <row r="1606" ht="15.0" customHeight="1">
      <c r="A1606" s="12"/>
      <c r="B1606" s="13"/>
      <c r="C1606" s="8"/>
      <c r="D1606" s="8"/>
      <c r="E1606" s="13" t="str">
        <f>IF(ISBLANK(D1606), "", VLOOKUP(D1606, Config!$F$6:$G$17, 2, FALSE()))</f>
        <v/>
      </c>
      <c r="F1606" s="16"/>
    </row>
    <row r="1607" ht="15.0" customHeight="1">
      <c r="A1607" s="12"/>
      <c r="B1607" s="13"/>
      <c r="C1607" s="8"/>
      <c r="D1607" s="8"/>
      <c r="E1607" s="13" t="str">
        <f>IF(ISBLANK(D1607), "", VLOOKUP(D1607, Config!$F$6:$G$17, 2, FALSE()))</f>
        <v/>
      </c>
      <c r="F1607" s="16"/>
    </row>
    <row r="1608" ht="15.0" customHeight="1">
      <c r="A1608" s="12"/>
      <c r="B1608" s="13"/>
      <c r="C1608" s="8"/>
      <c r="D1608" s="8"/>
      <c r="E1608" s="13" t="str">
        <f>IF(ISBLANK(D1608), "", VLOOKUP(D1608, Config!$F$6:$G$17, 2, FALSE()))</f>
        <v/>
      </c>
      <c r="F1608" s="16"/>
    </row>
    <row r="1609" ht="15.0" customHeight="1">
      <c r="A1609" s="12"/>
      <c r="B1609" s="13"/>
      <c r="C1609" s="8"/>
      <c r="D1609" s="8"/>
      <c r="E1609" s="13" t="str">
        <f>IF(ISBLANK(D1609), "", VLOOKUP(D1609, Config!$F$6:$G$17, 2, FALSE()))</f>
        <v/>
      </c>
      <c r="F1609" s="16"/>
    </row>
    <row r="1610" ht="15.0" customHeight="1">
      <c r="A1610" s="12"/>
      <c r="B1610" s="13"/>
      <c r="C1610" s="8"/>
      <c r="D1610" s="8"/>
      <c r="E1610" s="13" t="str">
        <f>IF(ISBLANK(D1610), "", VLOOKUP(D1610, Config!$F$6:$G$17, 2, FALSE()))</f>
        <v/>
      </c>
      <c r="F1610" s="16"/>
    </row>
    <row r="1611" ht="15.0" customHeight="1">
      <c r="A1611" s="12"/>
      <c r="B1611" s="13"/>
      <c r="C1611" s="8"/>
      <c r="D1611" s="8"/>
      <c r="E1611" s="13" t="str">
        <f>IF(ISBLANK(D1611), "", VLOOKUP(D1611, Config!$F$6:$G$17, 2, FALSE()))</f>
        <v/>
      </c>
      <c r="F1611" s="16"/>
    </row>
    <row r="1612" ht="15.0" customHeight="1">
      <c r="A1612" s="12"/>
      <c r="B1612" s="13"/>
      <c r="C1612" s="8"/>
      <c r="D1612" s="8"/>
      <c r="E1612" s="13" t="str">
        <f>IF(ISBLANK(D1612), "", VLOOKUP(D1612, Config!$F$6:$G$17, 2, FALSE()))</f>
        <v/>
      </c>
      <c r="F1612" s="16"/>
    </row>
    <row r="1613" ht="15.0" customHeight="1">
      <c r="A1613" s="12"/>
      <c r="B1613" s="13"/>
      <c r="C1613" s="8"/>
      <c r="D1613" s="8"/>
      <c r="E1613" s="13" t="str">
        <f>IF(ISBLANK(D1613), "", VLOOKUP(D1613, Config!$F$6:$G$17, 2, FALSE()))</f>
        <v/>
      </c>
      <c r="F1613" s="16"/>
    </row>
    <row r="1614" ht="15.0" customHeight="1">
      <c r="A1614" s="12"/>
      <c r="B1614" s="13"/>
      <c r="C1614" s="8"/>
      <c r="D1614" s="8"/>
      <c r="E1614" s="13" t="str">
        <f>IF(ISBLANK(D1614), "", VLOOKUP(D1614, Config!$F$6:$G$17, 2, FALSE()))</f>
        <v/>
      </c>
      <c r="F1614" s="16"/>
    </row>
    <row r="1615" ht="15.0" customHeight="1">
      <c r="A1615" s="12"/>
      <c r="B1615" s="13"/>
      <c r="C1615" s="8"/>
      <c r="D1615" s="8"/>
      <c r="E1615" s="13" t="str">
        <f>IF(ISBLANK(D1615), "", VLOOKUP(D1615, Config!$F$6:$G$17, 2, FALSE()))</f>
        <v/>
      </c>
      <c r="F1615" s="16"/>
    </row>
    <row r="1616" ht="15.0" customHeight="1">
      <c r="A1616" s="12"/>
      <c r="B1616" s="13"/>
      <c r="C1616" s="8"/>
      <c r="D1616" s="8"/>
      <c r="E1616" s="13" t="str">
        <f>IF(ISBLANK(D1616), "", VLOOKUP(D1616, Config!$F$6:$G$17, 2, FALSE()))</f>
        <v/>
      </c>
      <c r="F1616" s="16"/>
    </row>
    <row r="1617" ht="15.0" customHeight="1">
      <c r="A1617" s="12"/>
      <c r="B1617" s="13"/>
      <c r="C1617" s="8"/>
      <c r="D1617" s="8"/>
      <c r="E1617" s="13" t="str">
        <f>IF(ISBLANK(D1617), "", VLOOKUP(D1617, Config!$F$6:$G$17, 2, FALSE()))</f>
        <v/>
      </c>
      <c r="F1617" s="16"/>
    </row>
    <row r="1618" ht="15.0" customHeight="1">
      <c r="A1618" s="12"/>
      <c r="B1618" s="13"/>
      <c r="C1618" s="8"/>
      <c r="D1618" s="8"/>
      <c r="E1618" s="13" t="str">
        <f>IF(ISBLANK(D1618), "", VLOOKUP(D1618, Config!$F$6:$G$17, 2, FALSE()))</f>
        <v/>
      </c>
      <c r="F1618" s="16"/>
    </row>
    <row r="1619" ht="15.0" customHeight="1">
      <c r="A1619" s="12"/>
      <c r="B1619" s="13"/>
      <c r="C1619" s="8"/>
      <c r="D1619" s="8"/>
      <c r="E1619" s="13" t="str">
        <f>IF(ISBLANK(D1619), "", VLOOKUP(D1619, Config!$F$6:$G$17, 2, FALSE()))</f>
        <v/>
      </c>
      <c r="F1619" s="16"/>
    </row>
    <row r="1620" ht="15.0" customHeight="1">
      <c r="A1620" s="12"/>
      <c r="B1620" s="13"/>
      <c r="C1620" s="8"/>
      <c r="D1620" s="8"/>
      <c r="E1620" s="13" t="str">
        <f>IF(ISBLANK(D1620), "", VLOOKUP(D1620, Config!$F$6:$G$17, 2, FALSE()))</f>
        <v/>
      </c>
      <c r="F1620" s="16"/>
    </row>
    <row r="1621" ht="15.0" customHeight="1">
      <c r="A1621" s="12"/>
      <c r="B1621" s="13"/>
      <c r="C1621" s="8"/>
      <c r="D1621" s="8"/>
      <c r="E1621" s="13" t="str">
        <f>IF(ISBLANK(D1621), "", VLOOKUP(D1621, Config!$F$6:$G$17, 2, FALSE()))</f>
        <v/>
      </c>
      <c r="F1621" s="16"/>
    </row>
    <row r="1622" ht="15.0" customHeight="1">
      <c r="A1622" s="12"/>
      <c r="B1622" s="13"/>
      <c r="C1622" s="8"/>
      <c r="D1622" s="8"/>
      <c r="E1622" s="13" t="str">
        <f>IF(ISBLANK(D1622), "", VLOOKUP(D1622, Config!$F$6:$G$17, 2, FALSE()))</f>
        <v/>
      </c>
      <c r="F1622" s="16"/>
    </row>
    <row r="1623" ht="15.0" customHeight="1">
      <c r="A1623" s="12"/>
      <c r="B1623" s="13"/>
      <c r="C1623" s="8"/>
      <c r="D1623" s="8"/>
      <c r="E1623" s="13" t="str">
        <f>IF(ISBLANK(D1623), "", VLOOKUP(D1623, Config!$F$6:$G$17, 2, FALSE()))</f>
        <v/>
      </c>
      <c r="F1623" s="16"/>
    </row>
    <row r="1624" ht="15.0" customHeight="1">
      <c r="A1624" s="12"/>
      <c r="B1624" s="13"/>
      <c r="C1624" s="8"/>
      <c r="D1624" s="8"/>
      <c r="E1624" s="13" t="str">
        <f>IF(ISBLANK(D1624), "", VLOOKUP(D1624, Config!$F$6:$G$17, 2, FALSE()))</f>
        <v/>
      </c>
      <c r="F1624" s="16"/>
    </row>
    <row r="1625" ht="15.0" customHeight="1">
      <c r="A1625" s="12"/>
      <c r="B1625" s="13"/>
      <c r="C1625" s="8"/>
      <c r="D1625" s="8"/>
      <c r="E1625" s="13" t="str">
        <f>IF(ISBLANK(D1625), "", VLOOKUP(D1625, Config!$F$6:$G$17, 2, FALSE()))</f>
        <v/>
      </c>
      <c r="F1625" s="16"/>
    </row>
    <row r="1626" ht="15.0" customHeight="1">
      <c r="A1626" s="12"/>
      <c r="B1626" s="13"/>
      <c r="C1626" s="8"/>
      <c r="D1626" s="8"/>
      <c r="E1626" s="13" t="str">
        <f>IF(ISBLANK(D1626), "", VLOOKUP(D1626, Config!$F$6:$G$17, 2, FALSE()))</f>
        <v/>
      </c>
      <c r="F1626" s="16"/>
    </row>
    <row r="1627" ht="15.0" customHeight="1">
      <c r="A1627" s="12"/>
      <c r="B1627" s="13"/>
      <c r="C1627" s="8"/>
      <c r="D1627" s="8"/>
      <c r="E1627" s="13" t="str">
        <f>IF(ISBLANK(D1627), "", VLOOKUP(D1627, Config!$F$6:$G$17, 2, FALSE()))</f>
        <v/>
      </c>
      <c r="F1627" s="16"/>
    </row>
    <row r="1628" ht="15.0" customHeight="1">
      <c r="A1628" s="12"/>
      <c r="B1628" s="13"/>
      <c r="C1628" s="8"/>
      <c r="D1628" s="8"/>
      <c r="E1628" s="13" t="str">
        <f>IF(ISBLANK(D1628), "", VLOOKUP(D1628, Config!$F$6:$G$17, 2, FALSE()))</f>
        <v/>
      </c>
      <c r="F1628" s="16"/>
    </row>
    <row r="1629" ht="15.0" customHeight="1">
      <c r="A1629" s="12"/>
      <c r="B1629" s="13"/>
      <c r="C1629" s="8"/>
      <c r="D1629" s="8"/>
      <c r="E1629" s="13" t="str">
        <f>IF(ISBLANK(D1629), "", VLOOKUP(D1629, Config!$F$6:$G$17, 2, FALSE()))</f>
        <v/>
      </c>
      <c r="F1629" s="16"/>
    </row>
    <row r="1630" ht="15.0" customHeight="1">
      <c r="A1630" s="12"/>
      <c r="B1630" s="13"/>
      <c r="C1630" s="8"/>
      <c r="D1630" s="8"/>
      <c r="E1630" s="13" t="str">
        <f>IF(ISBLANK(D1630), "", VLOOKUP(D1630, Config!$F$6:$G$17, 2, FALSE()))</f>
        <v/>
      </c>
      <c r="F1630" s="16"/>
    </row>
    <row r="1631" ht="15.0" customHeight="1">
      <c r="A1631" s="12"/>
      <c r="B1631" s="13"/>
      <c r="C1631" s="8"/>
      <c r="D1631" s="8"/>
      <c r="E1631" s="13" t="str">
        <f>IF(ISBLANK(D1631), "", VLOOKUP(D1631, Config!$F$6:$G$17, 2, FALSE()))</f>
        <v/>
      </c>
      <c r="F1631" s="16"/>
    </row>
    <row r="1632" ht="15.0" customHeight="1">
      <c r="A1632" s="12"/>
      <c r="B1632" s="13"/>
      <c r="C1632" s="8"/>
      <c r="D1632" s="8"/>
      <c r="E1632" s="13" t="str">
        <f>IF(ISBLANK(D1632), "", VLOOKUP(D1632, Config!$F$6:$G$17, 2, FALSE()))</f>
        <v/>
      </c>
      <c r="F1632" s="16"/>
    </row>
    <row r="1633" ht="15.0" customHeight="1">
      <c r="A1633" s="12"/>
      <c r="B1633" s="13"/>
      <c r="C1633" s="8"/>
      <c r="D1633" s="8"/>
      <c r="E1633" s="13" t="str">
        <f>IF(ISBLANK(D1633), "", VLOOKUP(D1633, Config!$F$6:$G$17, 2, FALSE()))</f>
        <v/>
      </c>
      <c r="F1633" s="16"/>
    </row>
    <row r="1634" ht="15.0" customHeight="1">
      <c r="A1634" s="12"/>
      <c r="B1634" s="13"/>
      <c r="C1634" s="8"/>
      <c r="D1634" s="8"/>
      <c r="E1634" s="13" t="str">
        <f>IF(ISBLANK(D1634), "", VLOOKUP(D1634, Config!$F$6:$G$17, 2, FALSE()))</f>
        <v/>
      </c>
      <c r="F1634" s="16"/>
    </row>
    <row r="1635" ht="15.0" customHeight="1">
      <c r="A1635" s="12"/>
      <c r="B1635" s="13"/>
      <c r="C1635" s="8"/>
      <c r="D1635" s="8"/>
      <c r="E1635" s="13" t="str">
        <f>IF(ISBLANK(D1635), "", VLOOKUP(D1635, Config!$F$6:$G$17, 2, FALSE()))</f>
        <v/>
      </c>
      <c r="F1635" s="16"/>
    </row>
    <row r="1636" ht="15.0" customHeight="1">
      <c r="A1636" s="12"/>
      <c r="B1636" s="13"/>
      <c r="C1636" s="8"/>
      <c r="D1636" s="8"/>
      <c r="E1636" s="13" t="str">
        <f>IF(ISBLANK(D1636), "", VLOOKUP(D1636, Config!$F$6:$G$17, 2, FALSE()))</f>
        <v/>
      </c>
      <c r="F1636" s="16"/>
    </row>
    <row r="1637" ht="15.0" customHeight="1">
      <c r="A1637" s="12"/>
      <c r="B1637" s="13"/>
      <c r="C1637" s="8"/>
      <c r="D1637" s="8"/>
      <c r="E1637" s="13" t="str">
        <f>IF(ISBLANK(D1637), "", VLOOKUP(D1637, Config!$F$6:$G$17, 2, FALSE()))</f>
        <v/>
      </c>
      <c r="F1637" s="16"/>
    </row>
    <row r="1638" ht="15.0" customHeight="1">
      <c r="A1638" s="12"/>
      <c r="B1638" s="13"/>
      <c r="C1638" s="8"/>
      <c r="D1638" s="8"/>
      <c r="E1638" s="13" t="str">
        <f>IF(ISBLANK(D1638), "", VLOOKUP(D1638, Config!$F$6:$G$17, 2, FALSE()))</f>
        <v/>
      </c>
      <c r="F1638" s="16"/>
    </row>
    <row r="1639" ht="15.0" customHeight="1">
      <c r="A1639" s="12"/>
      <c r="B1639" s="13"/>
      <c r="C1639" s="8"/>
      <c r="D1639" s="8"/>
      <c r="E1639" s="13" t="str">
        <f>IF(ISBLANK(D1639), "", VLOOKUP(D1639, Config!$F$6:$G$17, 2, FALSE()))</f>
        <v/>
      </c>
      <c r="F1639" s="16"/>
    </row>
    <row r="1640" ht="15.0" customHeight="1">
      <c r="A1640" s="12"/>
      <c r="B1640" s="13"/>
      <c r="C1640" s="8"/>
      <c r="D1640" s="8"/>
      <c r="E1640" s="13" t="str">
        <f>IF(ISBLANK(D1640), "", VLOOKUP(D1640, Config!$F$6:$G$17, 2, FALSE()))</f>
        <v/>
      </c>
      <c r="F1640" s="16"/>
    </row>
    <row r="1641" ht="15.0" customHeight="1">
      <c r="A1641" s="12"/>
      <c r="B1641" s="13"/>
      <c r="C1641" s="8"/>
      <c r="D1641" s="8"/>
      <c r="E1641" s="13" t="str">
        <f>IF(ISBLANK(D1641), "", VLOOKUP(D1641, Config!$F$6:$G$17, 2, FALSE()))</f>
        <v/>
      </c>
      <c r="F1641" s="16"/>
    </row>
    <row r="1642" ht="15.0" customHeight="1">
      <c r="A1642" s="12"/>
      <c r="B1642" s="13"/>
      <c r="C1642" s="8"/>
      <c r="D1642" s="8"/>
      <c r="E1642" s="13" t="str">
        <f>IF(ISBLANK(D1642), "", VLOOKUP(D1642, Config!$F$6:$G$17, 2, FALSE()))</f>
        <v/>
      </c>
      <c r="F1642" s="16"/>
    </row>
    <row r="1643" ht="15.0" customHeight="1">
      <c r="A1643" s="12"/>
      <c r="B1643" s="13"/>
      <c r="C1643" s="8"/>
      <c r="D1643" s="8"/>
      <c r="E1643" s="13" t="str">
        <f>IF(ISBLANK(D1643), "", VLOOKUP(D1643, Config!$F$6:$G$17, 2, FALSE()))</f>
        <v/>
      </c>
      <c r="F1643" s="16"/>
    </row>
    <row r="1644" ht="15.0" customHeight="1">
      <c r="A1644" s="12"/>
      <c r="B1644" s="13"/>
      <c r="C1644" s="8"/>
      <c r="D1644" s="8"/>
      <c r="E1644" s="13" t="str">
        <f>IF(ISBLANK(D1644), "", VLOOKUP(D1644, Config!$F$6:$G$17, 2, FALSE()))</f>
        <v/>
      </c>
      <c r="F1644" s="16"/>
    </row>
    <row r="1645" ht="15.0" customHeight="1">
      <c r="A1645" s="12"/>
      <c r="B1645" s="13"/>
      <c r="C1645" s="8"/>
      <c r="D1645" s="8"/>
      <c r="E1645" s="13" t="str">
        <f>IF(ISBLANK(D1645), "", VLOOKUP(D1645, Config!$F$6:$G$17, 2, FALSE()))</f>
        <v/>
      </c>
      <c r="F1645" s="16"/>
    </row>
    <row r="1646" ht="15.0" customHeight="1">
      <c r="A1646" s="12"/>
      <c r="B1646" s="13"/>
      <c r="C1646" s="8"/>
      <c r="D1646" s="8"/>
      <c r="E1646" s="13" t="str">
        <f>IF(ISBLANK(D1646), "", VLOOKUP(D1646, Config!$F$6:$G$17, 2, FALSE()))</f>
        <v/>
      </c>
      <c r="F1646" s="16"/>
    </row>
    <row r="1647" ht="15.0" customHeight="1">
      <c r="A1647" s="12"/>
      <c r="B1647" s="13"/>
      <c r="C1647" s="8"/>
      <c r="D1647" s="8"/>
      <c r="E1647" s="13" t="str">
        <f>IF(ISBLANK(D1647), "", VLOOKUP(D1647, Config!$F$6:$G$17, 2, FALSE()))</f>
        <v/>
      </c>
      <c r="F1647" s="16"/>
    </row>
    <row r="1648" ht="15.0" customHeight="1">
      <c r="A1648" s="12"/>
      <c r="B1648" s="13"/>
      <c r="C1648" s="8"/>
      <c r="D1648" s="8"/>
      <c r="E1648" s="13" t="str">
        <f>IF(ISBLANK(D1648), "", VLOOKUP(D1648, Config!$F$6:$G$17, 2, FALSE()))</f>
        <v/>
      </c>
      <c r="F1648" s="16"/>
    </row>
    <row r="1649" ht="15.0" customHeight="1">
      <c r="A1649" s="12"/>
      <c r="B1649" s="13"/>
      <c r="C1649" s="8"/>
      <c r="D1649" s="8"/>
      <c r="E1649" s="13" t="str">
        <f>IF(ISBLANK(D1649), "", VLOOKUP(D1649, Config!$F$6:$G$17, 2, FALSE()))</f>
        <v/>
      </c>
      <c r="F1649" s="16"/>
    </row>
    <row r="1650" ht="15.0" customHeight="1">
      <c r="A1650" s="12"/>
      <c r="B1650" s="13"/>
      <c r="C1650" s="8"/>
      <c r="D1650" s="8"/>
      <c r="E1650" s="13" t="str">
        <f>IF(ISBLANK(D1650), "", VLOOKUP(D1650, Config!$F$6:$G$17, 2, FALSE()))</f>
        <v/>
      </c>
      <c r="F1650" s="16"/>
    </row>
    <row r="1651" ht="15.0" customHeight="1">
      <c r="A1651" s="12"/>
      <c r="B1651" s="13"/>
      <c r="C1651" s="8"/>
      <c r="D1651" s="8"/>
      <c r="E1651" s="13" t="str">
        <f>IF(ISBLANK(D1651), "", VLOOKUP(D1651, Config!$F$6:$G$17, 2, FALSE()))</f>
        <v/>
      </c>
      <c r="F1651" s="16"/>
    </row>
    <row r="1652" ht="15.0" customHeight="1">
      <c r="A1652" s="12"/>
      <c r="B1652" s="13"/>
      <c r="C1652" s="8"/>
      <c r="D1652" s="8"/>
      <c r="E1652" s="13" t="str">
        <f>IF(ISBLANK(D1652), "", VLOOKUP(D1652, Config!$F$6:$G$17, 2, FALSE()))</f>
        <v/>
      </c>
      <c r="F1652" s="16"/>
    </row>
    <row r="1653" ht="15.0" customHeight="1">
      <c r="A1653" s="12"/>
      <c r="B1653" s="13"/>
      <c r="C1653" s="8"/>
      <c r="D1653" s="8"/>
      <c r="E1653" s="13" t="str">
        <f>IF(ISBLANK(D1653), "", VLOOKUP(D1653, Config!$F$6:$G$17, 2, FALSE()))</f>
        <v/>
      </c>
      <c r="F1653" s="16"/>
    </row>
    <row r="1654" ht="15.0" customHeight="1">
      <c r="A1654" s="12"/>
      <c r="B1654" s="13"/>
      <c r="C1654" s="8"/>
      <c r="D1654" s="8"/>
      <c r="E1654" s="13" t="str">
        <f>IF(ISBLANK(D1654), "", VLOOKUP(D1654, Config!$F$6:$G$17, 2, FALSE()))</f>
        <v/>
      </c>
      <c r="F1654" s="16"/>
    </row>
    <row r="1655" ht="15.0" customHeight="1">
      <c r="A1655" s="12"/>
      <c r="B1655" s="13"/>
      <c r="C1655" s="8"/>
      <c r="D1655" s="8"/>
      <c r="E1655" s="13" t="str">
        <f>IF(ISBLANK(D1655), "", VLOOKUP(D1655, Config!$F$6:$G$17, 2, FALSE()))</f>
        <v/>
      </c>
      <c r="F1655" s="16"/>
    </row>
    <row r="1656" ht="15.0" customHeight="1">
      <c r="A1656" s="12"/>
      <c r="B1656" s="13"/>
      <c r="C1656" s="8"/>
      <c r="D1656" s="8"/>
      <c r="E1656" s="13" t="str">
        <f>IF(ISBLANK(D1656), "", VLOOKUP(D1656, Config!$F$6:$G$17, 2, FALSE()))</f>
        <v/>
      </c>
      <c r="F1656" s="16"/>
    </row>
    <row r="1657" ht="15.0" customHeight="1">
      <c r="A1657" s="12"/>
      <c r="B1657" s="13"/>
      <c r="C1657" s="8"/>
      <c r="D1657" s="8"/>
      <c r="E1657" s="13" t="str">
        <f>IF(ISBLANK(D1657), "", VLOOKUP(D1657, Config!$F$6:$G$17, 2, FALSE()))</f>
        <v/>
      </c>
      <c r="F1657" s="16"/>
    </row>
    <row r="1658" ht="15.0" customHeight="1">
      <c r="A1658" s="12"/>
      <c r="B1658" s="13"/>
      <c r="C1658" s="8"/>
      <c r="D1658" s="8"/>
      <c r="E1658" s="13" t="str">
        <f>IF(ISBLANK(D1658), "", VLOOKUP(D1658, Config!$F$6:$G$17, 2, FALSE()))</f>
        <v/>
      </c>
      <c r="F1658" s="16"/>
    </row>
    <row r="1659" ht="15.0" customHeight="1">
      <c r="A1659" s="12"/>
      <c r="B1659" s="13"/>
      <c r="C1659" s="8"/>
      <c r="D1659" s="8"/>
      <c r="E1659" s="13" t="str">
        <f>IF(ISBLANK(D1659), "", VLOOKUP(D1659, Config!$F$6:$G$17, 2, FALSE()))</f>
        <v/>
      </c>
      <c r="F1659" s="16"/>
    </row>
    <row r="1660" ht="15.0" customHeight="1">
      <c r="A1660" s="12"/>
      <c r="B1660" s="13"/>
      <c r="C1660" s="8"/>
      <c r="D1660" s="8"/>
      <c r="E1660" s="13" t="str">
        <f>IF(ISBLANK(D1660), "", VLOOKUP(D1660, Config!$F$6:$G$17, 2, FALSE()))</f>
        <v/>
      </c>
      <c r="F1660" s="16"/>
    </row>
    <row r="1661" ht="15.0" customHeight="1">
      <c r="A1661" s="12"/>
      <c r="B1661" s="13"/>
      <c r="C1661" s="8"/>
      <c r="D1661" s="8"/>
      <c r="E1661" s="13" t="str">
        <f>IF(ISBLANK(D1661), "", VLOOKUP(D1661, Config!$F$6:$G$17, 2, FALSE()))</f>
        <v/>
      </c>
      <c r="F1661" s="16"/>
    </row>
    <row r="1662" ht="15.0" customHeight="1">
      <c r="A1662" s="12"/>
      <c r="B1662" s="13"/>
      <c r="C1662" s="8"/>
      <c r="D1662" s="8"/>
      <c r="E1662" s="13" t="str">
        <f>IF(ISBLANK(D1662), "", VLOOKUP(D1662, Config!$F$6:$G$17, 2, FALSE()))</f>
        <v/>
      </c>
      <c r="F1662" s="16"/>
    </row>
    <row r="1663" ht="15.0" customHeight="1">
      <c r="A1663" s="12"/>
      <c r="B1663" s="13"/>
      <c r="C1663" s="8"/>
      <c r="D1663" s="8"/>
      <c r="E1663" s="13" t="str">
        <f>IF(ISBLANK(D1663), "", VLOOKUP(D1663, Config!$F$6:$G$17, 2, FALSE()))</f>
        <v/>
      </c>
      <c r="F1663" s="16"/>
    </row>
    <row r="1664" ht="15.0" customHeight="1">
      <c r="A1664" s="12"/>
      <c r="B1664" s="13"/>
      <c r="C1664" s="8"/>
      <c r="D1664" s="8"/>
      <c r="E1664" s="13" t="str">
        <f>IF(ISBLANK(D1664), "", VLOOKUP(D1664, Config!$F$6:$G$17, 2, FALSE()))</f>
        <v/>
      </c>
      <c r="F1664" s="16"/>
    </row>
    <row r="1665" ht="15.0" customHeight="1">
      <c r="A1665" s="12"/>
      <c r="B1665" s="13"/>
      <c r="C1665" s="8"/>
      <c r="D1665" s="8"/>
      <c r="E1665" s="13" t="str">
        <f>IF(ISBLANK(D1665), "", VLOOKUP(D1665, Config!$F$6:$G$17, 2, FALSE()))</f>
        <v/>
      </c>
      <c r="F1665" s="16"/>
    </row>
    <row r="1666" ht="15.0" customHeight="1">
      <c r="A1666" s="12"/>
      <c r="B1666" s="13"/>
      <c r="C1666" s="8"/>
      <c r="D1666" s="8"/>
      <c r="E1666" s="13" t="str">
        <f>IF(ISBLANK(D1666), "", VLOOKUP(D1666, Config!$F$6:$G$17, 2, FALSE()))</f>
        <v/>
      </c>
      <c r="F1666" s="16"/>
    </row>
    <row r="1667" ht="15.0" customHeight="1">
      <c r="A1667" s="12"/>
      <c r="B1667" s="13"/>
      <c r="C1667" s="8"/>
      <c r="D1667" s="8"/>
      <c r="E1667" s="13" t="str">
        <f>IF(ISBLANK(D1667), "", VLOOKUP(D1667, Config!$F$6:$G$17, 2, FALSE()))</f>
        <v/>
      </c>
      <c r="F1667" s="16"/>
    </row>
    <row r="1668" ht="15.0" customHeight="1">
      <c r="A1668" s="12"/>
      <c r="B1668" s="13"/>
      <c r="C1668" s="8"/>
      <c r="D1668" s="8"/>
      <c r="E1668" s="13" t="str">
        <f>IF(ISBLANK(D1668), "", VLOOKUP(D1668, Config!$F$6:$G$17, 2, FALSE()))</f>
        <v/>
      </c>
      <c r="F1668" s="16"/>
    </row>
    <row r="1669" ht="15.0" customHeight="1">
      <c r="A1669" s="12"/>
      <c r="B1669" s="13"/>
      <c r="C1669" s="8"/>
      <c r="D1669" s="8"/>
      <c r="E1669" s="13" t="str">
        <f>IF(ISBLANK(D1669), "", VLOOKUP(D1669, Config!$F$6:$G$17, 2, FALSE()))</f>
        <v/>
      </c>
      <c r="F1669" s="16"/>
    </row>
    <row r="1670" ht="15.0" customHeight="1">
      <c r="A1670" s="12"/>
      <c r="B1670" s="13"/>
      <c r="C1670" s="8"/>
      <c r="D1670" s="8"/>
      <c r="E1670" s="13" t="str">
        <f>IF(ISBLANK(D1670), "", VLOOKUP(D1670, Config!$F$6:$G$17, 2, FALSE()))</f>
        <v/>
      </c>
      <c r="F1670" s="16"/>
    </row>
    <row r="1671" ht="15.0" customHeight="1">
      <c r="A1671" s="12"/>
      <c r="B1671" s="13"/>
      <c r="C1671" s="8"/>
      <c r="D1671" s="8"/>
      <c r="E1671" s="13" t="str">
        <f>IF(ISBLANK(D1671), "", VLOOKUP(D1671, Config!$F$6:$G$17, 2, FALSE()))</f>
        <v/>
      </c>
      <c r="F1671" s="16"/>
    </row>
    <row r="1672" ht="15.0" customHeight="1">
      <c r="A1672" s="12"/>
      <c r="B1672" s="13"/>
      <c r="C1672" s="8"/>
      <c r="D1672" s="8"/>
      <c r="E1672" s="13" t="str">
        <f>IF(ISBLANK(D1672), "", VLOOKUP(D1672, Config!$F$6:$G$17, 2, FALSE()))</f>
        <v/>
      </c>
      <c r="F1672" s="16"/>
    </row>
    <row r="1673" ht="15.0" customHeight="1">
      <c r="A1673" s="12"/>
      <c r="B1673" s="13"/>
      <c r="C1673" s="8"/>
      <c r="D1673" s="8"/>
      <c r="E1673" s="13" t="str">
        <f>IF(ISBLANK(D1673), "", VLOOKUP(D1673, Config!$F$6:$G$17, 2, FALSE()))</f>
        <v/>
      </c>
      <c r="F1673" s="16"/>
    </row>
    <row r="1674" ht="15.0" customHeight="1">
      <c r="A1674" s="12"/>
      <c r="B1674" s="13"/>
      <c r="C1674" s="8"/>
      <c r="D1674" s="8"/>
      <c r="E1674" s="13" t="str">
        <f>IF(ISBLANK(D1674), "", VLOOKUP(D1674, Config!$F$6:$G$17, 2, FALSE()))</f>
        <v/>
      </c>
      <c r="F1674" s="16"/>
    </row>
    <row r="1675" ht="15.0" customHeight="1">
      <c r="A1675" s="12"/>
      <c r="B1675" s="13"/>
      <c r="C1675" s="8"/>
      <c r="D1675" s="8"/>
      <c r="E1675" s="13" t="str">
        <f>IF(ISBLANK(D1675), "", VLOOKUP(D1675, Config!$F$6:$G$17, 2, FALSE()))</f>
        <v/>
      </c>
      <c r="F1675" s="16"/>
    </row>
    <row r="1676" ht="15.0" customHeight="1">
      <c r="A1676" s="12"/>
      <c r="B1676" s="13"/>
      <c r="C1676" s="8"/>
      <c r="D1676" s="8"/>
      <c r="E1676" s="13" t="str">
        <f>IF(ISBLANK(D1676), "", VLOOKUP(D1676, Config!$F$6:$G$17, 2, FALSE()))</f>
        <v/>
      </c>
      <c r="F1676" s="16"/>
    </row>
    <row r="1677" ht="15.0" customHeight="1">
      <c r="A1677" s="12"/>
      <c r="B1677" s="13"/>
      <c r="C1677" s="8"/>
      <c r="D1677" s="8"/>
      <c r="E1677" s="13" t="str">
        <f>IF(ISBLANK(D1677), "", VLOOKUP(D1677, Config!$F$6:$G$17, 2, FALSE()))</f>
        <v/>
      </c>
      <c r="F1677" s="16"/>
    </row>
    <row r="1678" ht="15.0" customHeight="1">
      <c r="A1678" s="12"/>
      <c r="B1678" s="13"/>
      <c r="C1678" s="8"/>
      <c r="D1678" s="8"/>
      <c r="E1678" s="13" t="str">
        <f>IF(ISBLANK(D1678), "", VLOOKUP(D1678, Config!$F$6:$G$17, 2, FALSE()))</f>
        <v/>
      </c>
      <c r="F1678" s="16"/>
    </row>
    <row r="1679" ht="15.0" customHeight="1">
      <c r="A1679" s="12"/>
      <c r="B1679" s="13"/>
      <c r="C1679" s="8"/>
      <c r="D1679" s="8"/>
      <c r="E1679" s="13" t="str">
        <f>IF(ISBLANK(D1679), "", VLOOKUP(D1679, Config!$F$6:$G$17, 2, FALSE()))</f>
        <v/>
      </c>
      <c r="F1679" s="16"/>
    </row>
    <row r="1680" ht="15.0" customHeight="1">
      <c r="A1680" s="12"/>
      <c r="B1680" s="13"/>
      <c r="C1680" s="8"/>
      <c r="D1680" s="8"/>
      <c r="E1680" s="13" t="str">
        <f>IF(ISBLANK(D1680), "", VLOOKUP(D1680, Config!$F$6:$G$17, 2, FALSE()))</f>
        <v/>
      </c>
      <c r="F1680" s="16"/>
    </row>
    <row r="1681" ht="15.0" customHeight="1">
      <c r="A1681" s="12"/>
      <c r="B1681" s="13"/>
      <c r="C1681" s="8"/>
      <c r="D1681" s="8"/>
      <c r="E1681" s="13" t="str">
        <f>IF(ISBLANK(D1681), "", VLOOKUP(D1681, Config!$F$6:$G$17, 2, FALSE()))</f>
        <v/>
      </c>
      <c r="F1681" s="16"/>
    </row>
    <row r="1682" ht="15.0" customHeight="1">
      <c r="A1682" s="12"/>
      <c r="B1682" s="13"/>
      <c r="C1682" s="8"/>
      <c r="D1682" s="8"/>
      <c r="E1682" s="13" t="str">
        <f>IF(ISBLANK(D1682), "", VLOOKUP(D1682, Config!$F$6:$G$17, 2, FALSE()))</f>
        <v/>
      </c>
      <c r="F1682" s="16"/>
    </row>
    <row r="1683" ht="15.0" customHeight="1">
      <c r="A1683" s="12"/>
      <c r="B1683" s="13"/>
      <c r="C1683" s="8"/>
      <c r="D1683" s="8"/>
      <c r="E1683" s="13" t="str">
        <f>IF(ISBLANK(D1683), "", VLOOKUP(D1683, Config!$F$6:$G$17, 2, FALSE()))</f>
        <v/>
      </c>
      <c r="F1683" s="16"/>
    </row>
    <row r="1684" ht="15.0" customHeight="1">
      <c r="A1684" s="12"/>
      <c r="B1684" s="13"/>
      <c r="C1684" s="8"/>
      <c r="D1684" s="8"/>
      <c r="E1684" s="13" t="str">
        <f>IF(ISBLANK(D1684), "", VLOOKUP(D1684, Config!$F$6:$G$17, 2, FALSE()))</f>
        <v/>
      </c>
      <c r="F1684" s="16"/>
    </row>
    <row r="1685" ht="15.0" customHeight="1">
      <c r="A1685" s="12"/>
      <c r="B1685" s="13"/>
      <c r="C1685" s="8"/>
      <c r="D1685" s="8"/>
      <c r="E1685" s="13" t="str">
        <f>IF(ISBLANK(D1685), "", VLOOKUP(D1685, Config!$F$6:$G$17, 2, FALSE()))</f>
        <v/>
      </c>
      <c r="F1685" s="16"/>
    </row>
    <row r="1686" ht="15.0" customHeight="1">
      <c r="A1686" s="12"/>
      <c r="B1686" s="13"/>
      <c r="C1686" s="8"/>
      <c r="D1686" s="8"/>
      <c r="E1686" s="13" t="str">
        <f>IF(ISBLANK(D1686), "", VLOOKUP(D1686, Config!$F$6:$G$17, 2, FALSE()))</f>
        <v/>
      </c>
      <c r="F1686" s="16"/>
    </row>
    <row r="1687" ht="15.0" customHeight="1">
      <c r="A1687" s="12"/>
      <c r="B1687" s="13"/>
      <c r="C1687" s="8"/>
      <c r="D1687" s="8"/>
      <c r="E1687" s="13" t="str">
        <f>IF(ISBLANK(D1687), "", VLOOKUP(D1687, Config!$F$6:$G$17, 2, FALSE()))</f>
        <v/>
      </c>
      <c r="F1687" s="16"/>
    </row>
    <row r="1688" ht="15.0" customHeight="1">
      <c r="A1688" s="12"/>
      <c r="B1688" s="13"/>
      <c r="C1688" s="8"/>
      <c r="D1688" s="8"/>
      <c r="E1688" s="13" t="str">
        <f>IF(ISBLANK(D1688), "", VLOOKUP(D1688, Config!$F$6:$G$17, 2, FALSE()))</f>
        <v/>
      </c>
      <c r="F1688" s="16"/>
    </row>
    <row r="1689" ht="15.0" customHeight="1">
      <c r="A1689" s="12"/>
      <c r="B1689" s="13"/>
      <c r="C1689" s="8"/>
      <c r="D1689" s="8"/>
      <c r="E1689" s="13" t="str">
        <f>IF(ISBLANK(D1689), "", VLOOKUP(D1689, Config!$F$6:$G$17, 2, FALSE()))</f>
        <v/>
      </c>
      <c r="F1689" s="16"/>
    </row>
    <row r="1690" ht="15.0" customHeight="1">
      <c r="A1690" s="12"/>
      <c r="B1690" s="13"/>
      <c r="C1690" s="8"/>
      <c r="D1690" s="8"/>
      <c r="E1690" s="13" t="str">
        <f>IF(ISBLANK(D1690), "", VLOOKUP(D1690, Config!$F$6:$G$17, 2, FALSE()))</f>
        <v/>
      </c>
      <c r="F1690" s="16"/>
    </row>
    <row r="1691" ht="15.0" customHeight="1">
      <c r="A1691" s="12"/>
      <c r="B1691" s="13"/>
      <c r="C1691" s="8"/>
      <c r="D1691" s="8"/>
      <c r="E1691" s="13" t="str">
        <f>IF(ISBLANK(D1691), "", VLOOKUP(D1691, Config!$F$6:$G$17, 2, FALSE()))</f>
        <v/>
      </c>
      <c r="F1691" s="16"/>
    </row>
    <row r="1692" ht="15.0" customHeight="1">
      <c r="A1692" s="12"/>
      <c r="B1692" s="13"/>
      <c r="C1692" s="8"/>
      <c r="D1692" s="8"/>
      <c r="E1692" s="13" t="str">
        <f>IF(ISBLANK(D1692), "", VLOOKUP(D1692, Config!$F$6:$G$17, 2, FALSE()))</f>
        <v/>
      </c>
      <c r="F1692" s="16"/>
    </row>
    <row r="1693" ht="15.0" customHeight="1">
      <c r="A1693" s="12"/>
      <c r="B1693" s="13"/>
      <c r="C1693" s="8"/>
      <c r="D1693" s="8"/>
      <c r="E1693" s="13" t="str">
        <f>IF(ISBLANK(D1693), "", VLOOKUP(D1693, Config!$F$6:$G$17, 2, FALSE()))</f>
        <v/>
      </c>
      <c r="F1693" s="16"/>
    </row>
    <row r="1694" ht="15.0" customHeight="1">
      <c r="A1694" s="12"/>
      <c r="B1694" s="13"/>
      <c r="C1694" s="8"/>
      <c r="D1694" s="8"/>
      <c r="E1694" s="13" t="str">
        <f>IF(ISBLANK(D1694), "", VLOOKUP(D1694, Config!$F$6:$G$17, 2, FALSE()))</f>
        <v/>
      </c>
      <c r="F1694" s="16"/>
    </row>
    <row r="1695" ht="15.0" customHeight="1">
      <c r="A1695" s="12"/>
      <c r="B1695" s="13"/>
      <c r="C1695" s="8"/>
      <c r="D1695" s="8"/>
      <c r="E1695" s="13" t="str">
        <f>IF(ISBLANK(D1695), "", VLOOKUP(D1695, Config!$F$6:$G$17, 2, FALSE()))</f>
        <v/>
      </c>
      <c r="F1695" s="16"/>
    </row>
    <row r="1696" ht="15.0" customHeight="1">
      <c r="A1696" s="12"/>
      <c r="B1696" s="13"/>
      <c r="C1696" s="8"/>
      <c r="D1696" s="8"/>
      <c r="E1696" s="13" t="str">
        <f>IF(ISBLANK(D1696), "", VLOOKUP(D1696, Config!$F$6:$G$17, 2, FALSE()))</f>
        <v/>
      </c>
      <c r="F1696" s="16"/>
    </row>
    <row r="1697" ht="15.0" customHeight="1">
      <c r="A1697" s="12"/>
      <c r="B1697" s="13"/>
      <c r="C1697" s="8"/>
      <c r="D1697" s="8"/>
      <c r="E1697" s="13" t="str">
        <f>IF(ISBLANK(D1697), "", VLOOKUP(D1697, Config!$F$6:$G$17, 2, FALSE()))</f>
        <v/>
      </c>
      <c r="F1697" s="16"/>
    </row>
    <row r="1698" ht="15.0" customHeight="1">
      <c r="A1698" s="12"/>
      <c r="B1698" s="13"/>
      <c r="C1698" s="8"/>
      <c r="D1698" s="8"/>
      <c r="E1698" s="13" t="str">
        <f>IF(ISBLANK(D1698), "", VLOOKUP(D1698, Config!$F$6:$G$17, 2, FALSE()))</f>
        <v/>
      </c>
      <c r="F1698" s="16"/>
    </row>
    <row r="1699" ht="15.0" customHeight="1">
      <c r="A1699" s="12"/>
      <c r="B1699" s="13"/>
      <c r="C1699" s="8"/>
      <c r="D1699" s="8"/>
      <c r="E1699" s="13" t="str">
        <f>IF(ISBLANK(D1699), "", VLOOKUP(D1699, Config!$F$6:$G$17, 2, FALSE()))</f>
        <v/>
      </c>
      <c r="F1699" s="16"/>
    </row>
    <row r="1700" ht="15.0" customHeight="1">
      <c r="A1700" s="12"/>
      <c r="B1700" s="13"/>
      <c r="C1700" s="8"/>
      <c r="D1700" s="8"/>
      <c r="E1700" s="13" t="str">
        <f>IF(ISBLANK(D1700), "", VLOOKUP(D1700, Config!$F$6:$G$17, 2, FALSE()))</f>
        <v/>
      </c>
      <c r="F1700" s="16"/>
    </row>
    <row r="1701" ht="15.0" customHeight="1">
      <c r="A1701" s="12"/>
      <c r="B1701" s="13"/>
      <c r="C1701" s="8"/>
      <c r="D1701" s="8"/>
      <c r="E1701" s="13" t="str">
        <f>IF(ISBLANK(D1701), "", VLOOKUP(D1701, Config!$F$6:$G$17, 2, FALSE()))</f>
        <v/>
      </c>
      <c r="F1701" s="16"/>
    </row>
    <row r="1702" ht="15.0" customHeight="1">
      <c r="A1702" s="12"/>
      <c r="B1702" s="13"/>
      <c r="C1702" s="8"/>
      <c r="D1702" s="8"/>
      <c r="E1702" s="13" t="str">
        <f>IF(ISBLANK(D1702), "", VLOOKUP(D1702, Config!$F$6:$G$17, 2, FALSE()))</f>
        <v/>
      </c>
      <c r="F1702" s="16"/>
    </row>
    <row r="1703" ht="15.0" customHeight="1">
      <c r="A1703" s="12"/>
      <c r="B1703" s="13"/>
      <c r="C1703" s="8"/>
      <c r="D1703" s="8"/>
      <c r="E1703" s="13" t="str">
        <f>IF(ISBLANK(D1703), "", VLOOKUP(D1703, Config!$F$6:$G$17, 2, FALSE()))</f>
        <v/>
      </c>
      <c r="F1703" s="16"/>
    </row>
    <row r="1704" ht="15.0" customHeight="1">
      <c r="A1704" s="12"/>
      <c r="B1704" s="13"/>
      <c r="C1704" s="8"/>
      <c r="D1704" s="8"/>
      <c r="E1704" s="13" t="str">
        <f>IF(ISBLANK(D1704), "", VLOOKUP(D1704, Config!$F$6:$G$17, 2, FALSE()))</f>
        <v/>
      </c>
      <c r="F1704" s="16"/>
    </row>
    <row r="1705" ht="15.0" customHeight="1">
      <c r="A1705" s="12"/>
      <c r="B1705" s="13"/>
      <c r="C1705" s="8"/>
      <c r="D1705" s="8"/>
      <c r="E1705" s="13" t="str">
        <f>IF(ISBLANK(D1705), "", VLOOKUP(D1705, Config!$F$6:$G$17, 2, FALSE()))</f>
        <v/>
      </c>
      <c r="F1705" s="16"/>
    </row>
    <row r="1706" ht="15.0" customHeight="1">
      <c r="A1706" s="12"/>
      <c r="B1706" s="13"/>
      <c r="C1706" s="8"/>
      <c r="D1706" s="8"/>
      <c r="E1706" s="13" t="str">
        <f>IF(ISBLANK(D1706), "", VLOOKUP(D1706, Config!$F$6:$G$17, 2, FALSE()))</f>
        <v/>
      </c>
      <c r="F1706" s="16"/>
    </row>
    <row r="1707" ht="15.0" customHeight="1">
      <c r="A1707" s="12"/>
      <c r="B1707" s="13"/>
      <c r="C1707" s="8"/>
      <c r="D1707" s="8"/>
      <c r="E1707" s="13" t="str">
        <f>IF(ISBLANK(D1707), "", VLOOKUP(D1707, Config!$F$6:$G$17, 2, FALSE()))</f>
        <v/>
      </c>
      <c r="F1707" s="16"/>
    </row>
    <row r="1708" ht="15.0" customHeight="1">
      <c r="A1708" s="12"/>
      <c r="B1708" s="13"/>
      <c r="C1708" s="8"/>
      <c r="D1708" s="8"/>
      <c r="E1708" s="13" t="str">
        <f>IF(ISBLANK(D1708), "", VLOOKUP(D1708, Config!$F$6:$G$17, 2, FALSE()))</f>
        <v/>
      </c>
      <c r="F1708" s="16"/>
    </row>
    <row r="1709" ht="15.0" customHeight="1">
      <c r="A1709" s="12"/>
      <c r="B1709" s="13"/>
      <c r="C1709" s="8"/>
      <c r="D1709" s="8"/>
      <c r="E1709" s="13" t="str">
        <f>IF(ISBLANK(D1709), "", VLOOKUP(D1709, Config!$F$6:$G$17, 2, FALSE()))</f>
        <v/>
      </c>
      <c r="F1709" s="16"/>
    </row>
    <row r="1710" ht="15.0" customHeight="1">
      <c r="A1710" s="12"/>
      <c r="B1710" s="13"/>
      <c r="C1710" s="8"/>
      <c r="D1710" s="8"/>
      <c r="E1710" s="13" t="str">
        <f>IF(ISBLANK(D1710), "", VLOOKUP(D1710, Config!$F$6:$G$17, 2, FALSE()))</f>
        <v/>
      </c>
      <c r="F1710" s="16"/>
    </row>
    <row r="1711" ht="15.0" customHeight="1">
      <c r="A1711" s="12"/>
      <c r="B1711" s="13"/>
      <c r="C1711" s="8"/>
      <c r="D1711" s="8"/>
      <c r="E1711" s="13" t="str">
        <f>IF(ISBLANK(D1711), "", VLOOKUP(D1711, Config!$F$6:$G$17, 2, FALSE()))</f>
        <v/>
      </c>
      <c r="F1711" s="16"/>
    </row>
    <row r="1712" ht="15.0" customHeight="1">
      <c r="A1712" s="12"/>
      <c r="B1712" s="13"/>
      <c r="C1712" s="8"/>
      <c r="D1712" s="8"/>
      <c r="E1712" s="13" t="str">
        <f>IF(ISBLANK(D1712), "", VLOOKUP(D1712, Config!$F$6:$G$17, 2, FALSE()))</f>
        <v/>
      </c>
      <c r="F1712" s="16"/>
    </row>
    <row r="1713" ht="15.0" customHeight="1">
      <c r="A1713" s="12"/>
      <c r="B1713" s="13"/>
      <c r="C1713" s="8"/>
      <c r="D1713" s="8"/>
      <c r="E1713" s="13" t="str">
        <f>IF(ISBLANK(D1713), "", VLOOKUP(D1713, Config!$F$6:$G$17, 2, FALSE()))</f>
        <v/>
      </c>
      <c r="F1713" s="16"/>
    </row>
    <row r="1714" ht="15.0" customHeight="1">
      <c r="A1714" s="12"/>
      <c r="B1714" s="13"/>
      <c r="C1714" s="8"/>
      <c r="D1714" s="8"/>
      <c r="E1714" s="13" t="str">
        <f>IF(ISBLANK(D1714), "", VLOOKUP(D1714, Config!$F$6:$G$17, 2, FALSE()))</f>
        <v/>
      </c>
      <c r="F1714" s="16"/>
    </row>
    <row r="1715" ht="15.0" customHeight="1">
      <c r="A1715" s="12"/>
      <c r="B1715" s="13"/>
      <c r="C1715" s="8"/>
      <c r="D1715" s="8"/>
      <c r="E1715" s="13" t="str">
        <f>IF(ISBLANK(D1715), "", VLOOKUP(D1715, Config!$F$6:$G$17, 2, FALSE()))</f>
        <v/>
      </c>
      <c r="F1715" s="16"/>
    </row>
    <row r="1716" ht="15.0" customHeight="1">
      <c r="A1716" s="12"/>
      <c r="B1716" s="13"/>
      <c r="C1716" s="8"/>
      <c r="D1716" s="8"/>
      <c r="E1716" s="13" t="str">
        <f>IF(ISBLANK(D1716), "", VLOOKUP(D1716, Config!$F$6:$G$17, 2, FALSE()))</f>
        <v/>
      </c>
      <c r="F1716" s="16"/>
    </row>
    <row r="1717" ht="15.0" customHeight="1">
      <c r="A1717" s="12"/>
      <c r="B1717" s="13"/>
      <c r="C1717" s="8"/>
      <c r="D1717" s="8"/>
      <c r="E1717" s="13" t="str">
        <f>IF(ISBLANK(D1717), "", VLOOKUP(D1717, Config!$F$6:$G$17, 2, FALSE()))</f>
        <v/>
      </c>
      <c r="F1717" s="16"/>
    </row>
    <row r="1718" ht="15.0" customHeight="1">
      <c r="A1718" s="12"/>
      <c r="B1718" s="13"/>
      <c r="C1718" s="8"/>
      <c r="D1718" s="8"/>
      <c r="E1718" s="13" t="str">
        <f>IF(ISBLANK(D1718), "", VLOOKUP(D1718, Config!$F$6:$G$17, 2, FALSE()))</f>
        <v/>
      </c>
      <c r="F1718" s="16"/>
    </row>
    <row r="1719" ht="15.0" customHeight="1">
      <c r="A1719" s="12"/>
      <c r="B1719" s="13"/>
      <c r="C1719" s="8"/>
      <c r="D1719" s="8"/>
      <c r="E1719" s="13" t="str">
        <f>IF(ISBLANK(D1719), "", VLOOKUP(D1719, Config!$F$6:$G$17, 2, FALSE()))</f>
        <v/>
      </c>
      <c r="F1719" s="16"/>
    </row>
    <row r="1720" ht="15.0" customHeight="1">
      <c r="A1720" s="12"/>
      <c r="B1720" s="13"/>
      <c r="C1720" s="8"/>
      <c r="D1720" s="8"/>
      <c r="E1720" s="13" t="str">
        <f>IF(ISBLANK(D1720), "", VLOOKUP(D1720, Config!$F$6:$G$17, 2, FALSE()))</f>
        <v/>
      </c>
      <c r="F1720" s="16"/>
    </row>
    <row r="1721" ht="15.0" customHeight="1">
      <c r="A1721" s="12"/>
      <c r="B1721" s="13"/>
      <c r="C1721" s="8"/>
      <c r="D1721" s="8"/>
      <c r="E1721" s="13" t="str">
        <f>IF(ISBLANK(D1721), "", VLOOKUP(D1721, Config!$F$6:$G$17, 2, FALSE()))</f>
        <v/>
      </c>
      <c r="F1721" s="16"/>
    </row>
    <row r="1722" ht="15.0" customHeight="1">
      <c r="A1722" s="12"/>
      <c r="B1722" s="13"/>
      <c r="C1722" s="8"/>
      <c r="D1722" s="8"/>
      <c r="E1722" s="13" t="str">
        <f>IF(ISBLANK(D1722), "", VLOOKUP(D1722, Config!$F$6:$G$17, 2, FALSE()))</f>
        <v/>
      </c>
      <c r="F1722" s="16"/>
    </row>
    <row r="1723" ht="15.0" customHeight="1">
      <c r="A1723" s="12"/>
      <c r="B1723" s="13"/>
      <c r="C1723" s="8"/>
      <c r="D1723" s="8"/>
      <c r="E1723" s="13" t="str">
        <f>IF(ISBLANK(D1723), "", VLOOKUP(D1723, Config!$F$6:$G$17, 2, FALSE()))</f>
        <v/>
      </c>
      <c r="F1723" s="16"/>
    </row>
    <row r="1724" ht="15.0" customHeight="1">
      <c r="A1724" s="12"/>
      <c r="B1724" s="13"/>
      <c r="C1724" s="8"/>
      <c r="D1724" s="8"/>
      <c r="E1724" s="13" t="str">
        <f>IF(ISBLANK(D1724), "", VLOOKUP(D1724, Config!$F$6:$G$17, 2, FALSE()))</f>
        <v/>
      </c>
      <c r="F1724" s="16"/>
    </row>
    <row r="1725" ht="15.0" customHeight="1">
      <c r="A1725" s="12"/>
      <c r="B1725" s="13"/>
      <c r="C1725" s="8"/>
      <c r="D1725" s="8"/>
      <c r="E1725" s="13" t="str">
        <f>IF(ISBLANK(D1725), "", VLOOKUP(D1725, Config!$F$6:$G$17, 2, FALSE()))</f>
        <v/>
      </c>
      <c r="F1725" s="16"/>
    </row>
    <row r="1726" ht="15.0" customHeight="1">
      <c r="A1726" s="12"/>
      <c r="B1726" s="13"/>
      <c r="C1726" s="8"/>
      <c r="D1726" s="8"/>
      <c r="E1726" s="13" t="str">
        <f>IF(ISBLANK(D1726), "", VLOOKUP(D1726, Config!$F$6:$G$17, 2, FALSE()))</f>
        <v/>
      </c>
      <c r="F1726" s="16"/>
    </row>
    <row r="1727" ht="15.0" customHeight="1">
      <c r="A1727" s="12"/>
      <c r="B1727" s="13"/>
      <c r="C1727" s="8"/>
      <c r="D1727" s="8"/>
      <c r="E1727" s="13" t="str">
        <f>IF(ISBLANK(D1727), "", VLOOKUP(D1727, Config!$F$6:$G$17, 2, FALSE()))</f>
        <v/>
      </c>
      <c r="F1727" s="16"/>
    </row>
    <row r="1728" ht="15.0" customHeight="1">
      <c r="A1728" s="12"/>
      <c r="B1728" s="13"/>
      <c r="C1728" s="8"/>
      <c r="D1728" s="8"/>
      <c r="E1728" s="13" t="str">
        <f>IF(ISBLANK(D1728), "", VLOOKUP(D1728, Config!$F$6:$G$17, 2, FALSE()))</f>
        <v/>
      </c>
      <c r="F1728" s="16"/>
    </row>
    <row r="1729" ht="15.0" customHeight="1">
      <c r="A1729" s="12"/>
      <c r="B1729" s="13"/>
      <c r="C1729" s="8"/>
      <c r="D1729" s="8"/>
      <c r="E1729" s="13" t="str">
        <f>IF(ISBLANK(D1729), "", VLOOKUP(D1729, Config!$F$6:$G$17, 2, FALSE()))</f>
        <v/>
      </c>
      <c r="F1729" s="16"/>
    </row>
    <row r="1730" ht="15.0" customHeight="1">
      <c r="A1730" s="12"/>
      <c r="B1730" s="13"/>
      <c r="C1730" s="8"/>
      <c r="D1730" s="8"/>
      <c r="E1730" s="13" t="str">
        <f>IF(ISBLANK(D1730), "", VLOOKUP(D1730, Config!$F$6:$G$17, 2, FALSE()))</f>
        <v/>
      </c>
      <c r="F1730" s="16"/>
    </row>
    <row r="1731" ht="15.0" customHeight="1">
      <c r="A1731" s="12"/>
      <c r="B1731" s="13"/>
      <c r="C1731" s="8"/>
      <c r="D1731" s="8"/>
      <c r="E1731" s="13" t="str">
        <f>IF(ISBLANK(D1731), "", VLOOKUP(D1731, Config!$F$6:$G$17, 2, FALSE()))</f>
        <v/>
      </c>
      <c r="F1731" s="16"/>
    </row>
    <row r="1732" ht="15.0" customHeight="1">
      <c r="A1732" s="12"/>
      <c r="B1732" s="13"/>
      <c r="C1732" s="8"/>
      <c r="D1732" s="8"/>
      <c r="E1732" s="13" t="str">
        <f>IF(ISBLANK(D1732), "", VLOOKUP(D1732, Config!$F$6:$G$17, 2, FALSE()))</f>
        <v/>
      </c>
      <c r="F1732" s="16"/>
    </row>
    <row r="1733" ht="15.0" customHeight="1">
      <c r="A1733" s="12"/>
      <c r="B1733" s="13"/>
      <c r="C1733" s="8"/>
      <c r="D1733" s="8"/>
      <c r="E1733" s="13" t="str">
        <f>IF(ISBLANK(D1733), "", VLOOKUP(D1733, Config!$F$6:$G$17, 2, FALSE()))</f>
        <v/>
      </c>
      <c r="F1733" s="16"/>
    </row>
    <row r="1734" ht="15.0" customHeight="1">
      <c r="A1734" s="12"/>
      <c r="B1734" s="13"/>
      <c r="C1734" s="8"/>
      <c r="D1734" s="8"/>
      <c r="E1734" s="13" t="str">
        <f>IF(ISBLANK(D1734), "", VLOOKUP(D1734, Config!$F$6:$G$17, 2, FALSE()))</f>
        <v/>
      </c>
      <c r="F1734" s="16"/>
    </row>
    <row r="1735" ht="15.0" customHeight="1">
      <c r="A1735" s="12"/>
      <c r="B1735" s="13"/>
      <c r="C1735" s="8"/>
      <c r="D1735" s="8"/>
      <c r="E1735" s="13" t="str">
        <f>IF(ISBLANK(D1735), "", VLOOKUP(D1735, Config!$F$6:$G$17, 2, FALSE()))</f>
        <v/>
      </c>
      <c r="F1735" s="16"/>
    </row>
    <row r="1736" ht="15.0" customHeight="1">
      <c r="A1736" s="12"/>
      <c r="B1736" s="13"/>
      <c r="C1736" s="8"/>
      <c r="D1736" s="8"/>
      <c r="E1736" s="13" t="str">
        <f>IF(ISBLANK(D1736), "", VLOOKUP(D1736, Config!$F$6:$G$17, 2, FALSE()))</f>
        <v/>
      </c>
      <c r="F1736" s="16"/>
    </row>
    <row r="1737" ht="15.0" customHeight="1">
      <c r="A1737" s="12"/>
      <c r="B1737" s="13"/>
      <c r="C1737" s="8"/>
      <c r="D1737" s="8"/>
      <c r="E1737" s="13" t="str">
        <f>IF(ISBLANK(D1737), "", VLOOKUP(D1737, Config!$F$6:$G$17, 2, FALSE()))</f>
        <v/>
      </c>
      <c r="F1737" s="16"/>
    </row>
    <row r="1738" ht="15.0" customHeight="1">
      <c r="A1738" s="12"/>
      <c r="B1738" s="13"/>
      <c r="C1738" s="8"/>
      <c r="D1738" s="8"/>
      <c r="E1738" s="13" t="str">
        <f>IF(ISBLANK(D1738), "", VLOOKUP(D1738, Config!$F$6:$G$17, 2, FALSE()))</f>
        <v/>
      </c>
      <c r="F1738" s="16"/>
    </row>
    <row r="1739" ht="15.0" customHeight="1">
      <c r="A1739" s="12"/>
      <c r="B1739" s="13"/>
      <c r="C1739" s="8"/>
      <c r="D1739" s="8"/>
      <c r="E1739" s="13" t="str">
        <f>IF(ISBLANK(D1739), "", VLOOKUP(D1739, Config!$F$6:$G$17, 2, FALSE()))</f>
        <v/>
      </c>
      <c r="F1739" s="16"/>
    </row>
    <row r="1740" ht="15.0" customHeight="1">
      <c r="A1740" s="12"/>
      <c r="B1740" s="13"/>
      <c r="C1740" s="8"/>
      <c r="D1740" s="8"/>
      <c r="E1740" s="13" t="str">
        <f>IF(ISBLANK(D1740), "", VLOOKUP(D1740, Config!$F$6:$G$17, 2, FALSE()))</f>
        <v/>
      </c>
      <c r="F1740" s="16"/>
    </row>
    <row r="1741" ht="15.0" customHeight="1">
      <c r="A1741" s="12"/>
      <c r="B1741" s="13"/>
      <c r="C1741" s="8"/>
      <c r="D1741" s="8"/>
      <c r="E1741" s="13" t="str">
        <f>IF(ISBLANK(D1741), "", VLOOKUP(D1741, Config!$F$6:$G$17, 2, FALSE()))</f>
        <v/>
      </c>
      <c r="F1741" s="16"/>
    </row>
    <row r="1742" ht="15.0" customHeight="1">
      <c r="A1742" s="12"/>
      <c r="B1742" s="13"/>
      <c r="C1742" s="8"/>
      <c r="D1742" s="8"/>
      <c r="E1742" s="13" t="str">
        <f>IF(ISBLANK(D1742), "", VLOOKUP(D1742, Config!$F$6:$G$17, 2, FALSE()))</f>
        <v/>
      </c>
      <c r="F1742" s="16"/>
    </row>
    <row r="1743" ht="15.0" customHeight="1">
      <c r="A1743" s="12"/>
      <c r="B1743" s="13"/>
      <c r="C1743" s="8"/>
      <c r="D1743" s="8"/>
      <c r="E1743" s="13" t="str">
        <f>IF(ISBLANK(D1743), "", VLOOKUP(D1743, Config!$F$6:$G$17, 2, FALSE()))</f>
        <v/>
      </c>
      <c r="F1743" s="16"/>
    </row>
    <row r="1744" ht="15.0" customHeight="1">
      <c r="A1744" s="12"/>
      <c r="B1744" s="13"/>
      <c r="C1744" s="8"/>
      <c r="D1744" s="8"/>
      <c r="E1744" s="13" t="str">
        <f>IF(ISBLANK(D1744), "", VLOOKUP(D1744, Config!$F$6:$G$17, 2, FALSE()))</f>
        <v/>
      </c>
      <c r="F1744" s="16"/>
    </row>
    <row r="1745" ht="15.0" customHeight="1">
      <c r="A1745" s="12"/>
      <c r="B1745" s="13"/>
      <c r="C1745" s="8"/>
      <c r="D1745" s="8"/>
      <c r="E1745" s="13" t="str">
        <f>IF(ISBLANK(D1745), "", VLOOKUP(D1745, Config!$F$6:$G$17, 2, FALSE()))</f>
        <v/>
      </c>
      <c r="F1745" s="16"/>
    </row>
    <row r="1746" ht="15.0" customHeight="1">
      <c r="A1746" s="12"/>
      <c r="B1746" s="13"/>
      <c r="C1746" s="8"/>
      <c r="D1746" s="8"/>
      <c r="E1746" s="13" t="str">
        <f>IF(ISBLANK(D1746), "", VLOOKUP(D1746, Config!$F$6:$G$17, 2, FALSE()))</f>
        <v/>
      </c>
      <c r="F1746" s="16"/>
    </row>
    <row r="1747" ht="15.0" customHeight="1">
      <c r="A1747" s="12"/>
      <c r="B1747" s="13"/>
      <c r="C1747" s="8"/>
      <c r="D1747" s="8"/>
      <c r="E1747" s="13" t="str">
        <f>IF(ISBLANK(D1747), "", VLOOKUP(D1747, Config!$F$6:$G$17, 2, FALSE()))</f>
        <v/>
      </c>
      <c r="F1747" s="16"/>
    </row>
    <row r="1748" ht="15.0" customHeight="1">
      <c r="A1748" s="12"/>
      <c r="B1748" s="13"/>
      <c r="C1748" s="8"/>
      <c r="D1748" s="8"/>
      <c r="E1748" s="13" t="str">
        <f>IF(ISBLANK(D1748), "", VLOOKUP(D1748, Config!$F$6:$G$17, 2, FALSE()))</f>
        <v/>
      </c>
      <c r="F1748" s="16"/>
    </row>
    <row r="1749" ht="15.0" customHeight="1">
      <c r="A1749" s="12"/>
      <c r="B1749" s="13"/>
      <c r="C1749" s="8"/>
      <c r="D1749" s="8"/>
      <c r="E1749" s="13" t="str">
        <f>IF(ISBLANK(D1749), "", VLOOKUP(D1749, Config!$F$6:$G$17, 2, FALSE()))</f>
        <v/>
      </c>
      <c r="F1749" s="16"/>
    </row>
    <row r="1750" ht="15.0" customHeight="1">
      <c r="A1750" s="12"/>
      <c r="B1750" s="13"/>
      <c r="C1750" s="8"/>
      <c r="D1750" s="8"/>
      <c r="E1750" s="13" t="str">
        <f>IF(ISBLANK(D1750), "", VLOOKUP(D1750, Config!$F$6:$G$17, 2, FALSE()))</f>
        <v/>
      </c>
      <c r="F1750" s="16"/>
    </row>
    <row r="1751" ht="15.0" customHeight="1">
      <c r="A1751" s="12"/>
      <c r="B1751" s="13"/>
      <c r="C1751" s="8"/>
      <c r="D1751" s="8"/>
      <c r="E1751" s="13" t="str">
        <f>IF(ISBLANK(D1751), "", VLOOKUP(D1751, Config!$F$6:$G$17, 2, FALSE()))</f>
        <v/>
      </c>
      <c r="F1751" s="16"/>
    </row>
    <row r="1752" ht="15.0" customHeight="1">
      <c r="A1752" s="12"/>
      <c r="B1752" s="13"/>
      <c r="C1752" s="8"/>
      <c r="D1752" s="8"/>
      <c r="E1752" s="13" t="str">
        <f>IF(ISBLANK(D1752), "", VLOOKUP(D1752, Config!$F$6:$G$17, 2, FALSE()))</f>
        <v/>
      </c>
      <c r="F1752" s="16"/>
    </row>
    <row r="1753" ht="15.0" customHeight="1">
      <c r="A1753" s="12"/>
      <c r="B1753" s="13"/>
      <c r="C1753" s="8"/>
      <c r="D1753" s="8"/>
      <c r="E1753" s="13" t="str">
        <f>IF(ISBLANK(D1753), "", VLOOKUP(D1753, Config!$F$6:$G$17, 2, FALSE()))</f>
        <v/>
      </c>
      <c r="F1753" s="16"/>
    </row>
    <row r="1754" ht="15.0" customHeight="1">
      <c r="A1754" s="12"/>
      <c r="B1754" s="13"/>
      <c r="C1754" s="8"/>
      <c r="D1754" s="8"/>
      <c r="E1754" s="13" t="str">
        <f>IF(ISBLANK(D1754), "", VLOOKUP(D1754, Config!$F$6:$G$17, 2, FALSE()))</f>
        <v/>
      </c>
      <c r="F1754" s="16"/>
    </row>
    <row r="1755" ht="15.0" customHeight="1">
      <c r="A1755" s="12"/>
      <c r="B1755" s="13"/>
      <c r="C1755" s="8"/>
      <c r="D1755" s="8"/>
      <c r="E1755" s="13" t="str">
        <f>IF(ISBLANK(D1755), "", VLOOKUP(D1755, Config!$F$6:$G$17, 2, FALSE()))</f>
        <v/>
      </c>
      <c r="F1755" s="16"/>
    </row>
    <row r="1756" ht="15.0" customHeight="1">
      <c r="A1756" s="12"/>
      <c r="B1756" s="13"/>
      <c r="C1756" s="8"/>
      <c r="D1756" s="8"/>
      <c r="E1756" s="13" t="str">
        <f>IF(ISBLANK(D1756), "", VLOOKUP(D1756, Config!$F$6:$G$17, 2, FALSE()))</f>
        <v/>
      </c>
      <c r="F1756" s="16"/>
    </row>
    <row r="1757" ht="15.0" customHeight="1">
      <c r="A1757" s="12"/>
      <c r="B1757" s="13"/>
      <c r="C1757" s="8"/>
      <c r="D1757" s="8"/>
      <c r="E1757" s="13" t="str">
        <f>IF(ISBLANK(D1757), "", VLOOKUP(D1757, Config!$F$6:$G$17, 2, FALSE()))</f>
        <v/>
      </c>
      <c r="F1757" s="16"/>
    </row>
    <row r="1758" ht="15.0" customHeight="1">
      <c r="A1758" s="12"/>
      <c r="B1758" s="13"/>
      <c r="C1758" s="8"/>
      <c r="D1758" s="8"/>
      <c r="E1758" s="13" t="str">
        <f>IF(ISBLANK(D1758), "", VLOOKUP(D1758, Config!$F$6:$G$17, 2, FALSE()))</f>
        <v/>
      </c>
      <c r="F1758" s="16"/>
    </row>
    <row r="1759" ht="15.0" customHeight="1">
      <c r="A1759" s="12"/>
      <c r="B1759" s="13"/>
      <c r="C1759" s="8"/>
      <c r="D1759" s="8"/>
      <c r="E1759" s="13" t="str">
        <f>IF(ISBLANK(D1759), "", VLOOKUP(D1759, Config!$F$6:$G$17, 2, FALSE()))</f>
        <v/>
      </c>
      <c r="F1759" s="16"/>
    </row>
    <row r="1760" ht="15.0" customHeight="1">
      <c r="A1760" s="12"/>
      <c r="B1760" s="13"/>
      <c r="C1760" s="8"/>
      <c r="D1760" s="8"/>
      <c r="E1760" s="13" t="str">
        <f>IF(ISBLANK(D1760), "", VLOOKUP(D1760, Config!$F$6:$G$17, 2, FALSE()))</f>
        <v/>
      </c>
      <c r="F1760" s="16"/>
    </row>
    <row r="1761" ht="15.0" customHeight="1">
      <c r="A1761" s="12"/>
      <c r="B1761" s="13"/>
      <c r="C1761" s="8"/>
      <c r="D1761" s="8"/>
      <c r="E1761" s="13" t="str">
        <f>IF(ISBLANK(D1761), "", VLOOKUP(D1761, Config!$F$6:$G$17, 2, FALSE()))</f>
        <v/>
      </c>
      <c r="F1761" s="16"/>
    </row>
    <row r="1762" ht="15.0" customHeight="1">
      <c r="A1762" s="12"/>
      <c r="B1762" s="13"/>
      <c r="C1762" s="8"/>
      <c r="D1762" s="8"/>
      <c r="E1762" s="13" t="str">
        <f>IF(ISBLANK(D1762), "", VLOOKUP(D1762, Config!$F$6:$G$17, 2, FALSE()))</f>
        <v/>
      </c>
      <c r="F1762" s="16"/>
    </row>
    <row r="1763" ht="15.0" customHeight="1">
      <c r="A1763" s="12"/>
      <c r="B1763" s="13"/>
      <c r="C1763" s="8"/>
      <c r="D1763" s="8"/>
      <c r="E1763" s="13" t="str">
        <f>IF(ISBLANK(D1763), "", VLOOKUP(D1763, Config!$F$6:$G$17, 2, FALSE()))</f>
        <v/>
      </c>
      <c r="F1763" s="16"/>
    </row>
    <row r="1764" ht="15.0" customHeight="1">
      <c r="A1764" s="12"/>
      <c r="B1764" s="13"/>
      <c r="C1764" s="8"/>
      <c r="D1764" s="8"/>
      <c r="E1764" s="13" t="str">
        <f>IF(ISBLANK(D1764), "", VLOOKUP(D1764, Config!$F$6:$G$17, 2, FALSE()))</f>
        <v/>
      </c>
      <c r="F1764" s="16"/>
    </row>
    <row r="1765" ht="15.0" customHeight="1">
      <c r="A1765" s="12"/>
      <c r="B1765" s="13"/>
      <c r="C1765" s="8"/>
      <c r="D1765" s="8"/>
      <c r="E1765" s="13" t="str">
        <f>IF(ISBLANK(D1765), "", VLOOKUP(D1765, Config!$F$6:$G$17, 2, FALSE()))</f>
        <v/>
      </c>
      <c r="F1765" s="16"/>
    </row>
    <row r="1766" ht="15.0" customHeight="1">
      <c r="A1766" s="12"/>
      <c r="B1766" s="13"/>
      <c r="C1766" s="8"/>
      <c r="D1766" s="8"/>
      <c r="E1766" s="13" t="str">
        <f>IF(ISBLANK(D1766), "", VLOOKUP(D1766, Config!$F$6:$G$17, 2, FALSE()))</f>
        <v/>
      </c>
      <c r="F1766" s="16"/>
    </row>
    <row r="1767" ht="15.0" customHeight="1">
      <c r="A1767" s="12"/>
      <c r="B1767" s="13"/>
      <c r="C1767" s="8"/>
      <c r="D1767" s="8"/>
      <c r="E1767" s="13" t="str">
        <f>IF(ISBLANK(D1767), "", VLOOKUP(D1767, Config!$F$6:$G$17, 2, FALSE()))</f>
        <v/>
      </c>
      <c r="F1767" s="16"/>
    </row>
    <row r="1768" ht="15.0" customHeight="1">
      <c r="A1768" s="12"/>
      <c r="B1768" s="13"/>
      <c r="C1768" s="8"/>
      <c r="D1768" s="8"/>
      <c r="E1768" s="13" t="str">
        <f>IF(ISBLANK(D1768), "", VLOOKUP(D1768, Config!$F$6:$G$17, 2, FALSE()))</f>
        <v/>
      </c>
      <c r="F1768" s="16"/>
    </row>
    <row r="1769" ht="15.0" customHeight="1">
      <c r="A1769" s="12"/>
      <c r="B1769" s="13"/>
      <c r="C1769" s="8"/>
      <c r="D1769" s="8"/>
      <c r="E1769" s="13" t="str">
        <f>IF(ISBLANK(D1769), "", VLOOKUP(D1769, Config!$F$6:$G$17, 2, FALSE()))</f>
        <v/>
      </c>
      <c r="F1769" s="16"/>
    </row>
    <row r="1770" ht="15.0" customHeight="1">
      <c r="A1770" s="12"/>
      <c r="B1770" s="13"/>
      <c r="C1770" s="8"/>
      <c r="D1770" s="8"/>
      <c r="E1770" s="13" t="str">
        <f>IF(ISBLANK(D1770), "", VLOOKUP(D1770, Config!$F$6:$G$17, 2, FALSE()))</f>
        <v/>
      </c>
      <c r="F1770" s="16"/>
    </row>
    <row r="1771" ht="15.0" customHeight="1">
      <c r="A1771" s="12"/>
      <c r="B1771" s="13"/>
      <c r="C1771" s="8"/>
      <c r="D1771" s="8"/>
      <c r="E1771" s="13" t="str">
        <f>IF(ISBLANK(D1771), "", VLOOKUP(D1771, Config!$F$6:$G$17, 2, FALSE()))</f>
        <v/>
      </c>
      <c r="F1771" s="16"/>
    </row>
    <row r="1772" ht="15.0" customHeight="1">
      <c r="A1772" s="12"/>
      <c r="B1772" s="13"/>
      <c r="C1772" s="8"/>
      <c r="D1772" s="8"/>
      <c r="E1772" s="13" t="str">
        <f>IF(ISBLANK(D1772), "", VLOOKUP(D1772, Config!$F$6:$G$17, 2, FALSE()))</f>
        <v/>
      </c>
      <c r="F1772" s="16"/>
    </row>
    <row r="1773" ht="15.0" customHeight="1">
      <c r="A1773" s="12"/>
      <c r="B1773" s="13"/>
      <c r="C1773" s="8"/>
      <c r="D1773" s="8"/>
      <c r="E1773" s="13" t="str">
        <f>IF(ISBLANK(D1773), "", VLOOKUP(D1773, Config!$F$6:$G$17, 2, FALSE()))</f>
        <v/>
      </c>
      <c r="F1773" s="16"/>
    </row>
    <row r="1774" ht="15.0" customHeight="1">
      <c r="A1774" s="12"/>
      <c r="B1774" s="13"/>
      <c r="C1774" s="8"/>
      <c r="D1774" s="8"/>
      <c r="E1774" s="13" t="str">
        <f>IF(ISBLANK(D1774), "", VLOOKUP(D1774, Config!$F$6:$G$17, 2, FALSE()))</f>
        <v/>
      </c>
      <c r="F1774" s="16"/>
    </row>
    <row r="1775" ht="15.0" customHeight="1">
      <c r="A1775" s="12"/>
      <c r="B1775" s="13"/>
      <c r="C1775" s="8"/>
      <c r="D1775" s="8"/>
      <c r="E1775" s="13" t="str">
        <f>IF(ISBLANK(D1775), "", VLOOKUP(D1775, Config!$F$6:$G$17, 2, FALSE()))</f>
        <v/>
      </c>
      <c r="F1775" s="16"/>
    </row>
    <row r="1776" ht="15.0" customHeight="1">
      <c r="A1776" s="12"/>
      <c r="B1776" s="13"/>
      <c r="C1776" s="8"/>
      <c r="D1776" s="8"/>
      <c r="E1776" s="13" t="str">
        <f>IF(ISBLANK(D1776), "", VLOOKUP(D1776, Config!$F$6:$G$17, 2, FALSE()))</f>
        <v/>
      </c>
      <c r="F1776" s="16"/>
    </row>
    <row r="1777" ht="15.0" customHeight="1">
      <c r="A1777" s="12"/>
      <c r="B1777" s="13"/>
      <c r="C1777" s="8"/>
      <c r="D1777" s="8"/>
      <c r="E1777" s="13" t="str">
        <f>IF(ISBLANK(D1777), "", VLOOKUP(D1777, Config!$F$6:$G$17, 2, FALSE()))</f>
        <v/>
      </c>
      <c r="F1777" s="16"/>
    </row>
    <row r="1778" ht="15.0" customHeight="1">
      <c r="A1778" s="12"/>
      <c r="B1778" s="13"/>
      <c r="C1778" s="8"/>
      <c r="D1778" s="8"/>
      <c r="E1778" s="13" t="str">
        <f>IF(ISBLANK(D1778), "", VLOOKUP(D1778, Config!$F$6:$G$17, 2, FALSE()))</f>
        <v/>
      </c>
      <c r="F1778" s="16"/>
    </row>
    <row r="1779" ht="15.0" customHeight="1">
      <c r="A1779" s="12"/>
      <c r="B1779" s="13"/>
      <c r="C1779" s="8"/>
      <c r="D1779" s="8"/>
      <c r="E1779" s="13" t="str">
        <f>IF(ISBLANK(D1779), "", VLOOKUP(D1779, Config!$F$6:$G$17, 2, FALSE()))</f>
        <v/>
      </c>
      <c r="F1779" s="16"/>
    </row>
    <row r="1780" ht="15.0" customHeight="1">
      <c r="A1780" s="12"/>
      <c r="B1780" s="13"/>
      <c r="C1780" s="8"/>
      <c r="D1780" s="8"/>
      <c r="E1780" s="13" t="str">
        <f>IF(ISBLANK(D1780), "", VLOOKUP(D1780, Config!$F$6:$G$17, 2, FALSE()))</f>
        <v/>
      </c>
      <c r="F1780" s="16"/>
    </row>
    <row r="1781" ht="15.0" customHeight="1">
      <c r="A1781" s="12"/>
      <c r="B1781" s="13"/>
      <c r="C1781" s="8"/>
      <c r="D1781" s="8"/>
      <c r="E1781" s="13" t="str">
        <f>IF(ISBLANK(D1781), "", VLOOKUP(D1781, Config!$F$6:$G$17, 2, FALSE()))</f>
        <v/>
      </c>
      <c r="F1781" s="16"/>
    </row>
    <row r="1782" ht="15.0" customHeight="1">
      <c r="A1782" s="12"/>
      <c r="B1782" s="13"/>
      <c r="C1782" s="8"/>
      <c r="D1782" s="8"/>
      <c r="E1782" s="13" t="str">
        <f>IF(ISBLANK(D1782), "", VLOOKUP(D1782, Config!$F$6:$G$17, 2, FALSE()))</f>
        <v/>
      </c>
      <c r="F1782" s="16"/>
    </row>
    <row r="1783" ht="15.0" customHeight="1">
      <c r="A1783" s="12"/>
      <c r="B1783" s="13"/>
      <c r="C1783" s="8"/>
      <c r="D1783" s="8"/>
      <c r="E1783" s="13" t="str">
        <f>IF(ISBLANK(D1783), "", VLOOKUP(D1783, Config!$F$6:$G$17, 2, FALSE()))</f>
        <v/>
      </c>
      <c r="F1783" s="16"/>
    </row>
    <row r="1784" ht="15.0" customHeight="1">
      <c r="A1784" s="12"/>
      <c r="B1784" s="13"/>
      <c r="C1784" s="8"/>
      <c r="D1784" s="8"/>
      <c r="E1784" s="13" t="str">
        <f>IF(ISBLANK(D1784), "", VLOOKUP(D1784, Config!$F$6:$G$17, 2, FALSE()))</f>
        <v/>
      </c>
      <c r="F1784" s="16"/>
    </row>
    <row r="1785" ht="15.0" customHeight="1">
      <c r="A1785" s="12"/>
      <c r="B1785" s="13"/>
      <c r="C1785" s="8"/>
      <c r="D1785" s="8"/>
      <c r="E1785" s="13" t="str">
        <f>IF(ISBLANK(D1785), "", VLOOKUP(D1785, Config!$F$6:$G$17, 2, FALSE()))</f>
        <v/>
      </c>
      <c r="F1785" s="16"/>
    </row>
    <row r="1786" ht="15.0" customHeight="1">
      <c r="A1786" s="12"/>
      <c r="B1786" s="13"/>
      <c r="C1786" s="8"/>
      <c r="D1786" s="8"/>
      <c r="E1786" s="13" t="str">
        <f>IF(ISBLANK(D1786), "", VLOOKUP(D1786, Config!$F$6:$G$17, 2, FALSE()))</f>
        <v/>
      </c>
      <c r="F1786" s="16"/>
    </row>
    <row r="1787" ht="15.0" customHeight="1">
      <c r="A1787" s="12"/>
      <c r="B1787" s="13"/>
      <c r="C1787" s="8"/>
      <c r="D1787" s="8"/>
      <c r="E1787" s="13" t="str">
        <f>IF(ISBLANK(D1787), "", VLOOKUP(D1787, Config!$F$6:$G$17, 2, FALSE()))</f>
        <v/>
      </c>
      <c r="F1787" s="16"/>
    </row>
    <row r="1788" ht="15.0" customHeight="1">
      <c r="A1788" s="12"/>
      <c r="B1788" s="13"/>
      <c r="C1788" s="8"/>
      <c r="D1788" s="8"/>
      <c r="E1788" s="13" t="str">
        <f>IF(ISBLANK(D1788), "", VLOOKUP(D1788, Config!$F$6:$G$17, 2, FALSE()))</f>
        <v/>
      </c>
      <c r="F1788" s="16"/>
    </row>
    <row r="1789" ht="15.0" customHeight="1">
      <c r="A1789" s="12"/>
      <c r="B1789" s="13"/>
      <c r="C1789" s="8"/>
      <c r="D1789" s="8"/>
      <c r="E1789" s="13" t="str">
        <f>IF(ISBLANK(D1789), "", VLOOKUP(D1789, Config!$F$6:$G$17, 2, FALSE()))</f>
        <v/>
      </c>
      <c r="F1789" s="16"/>
    </row>
    <row r="1790" ht="15.0" customHeight="1">
      <c r="A1790" s="12"/>
      <c r="B1790" s="13"/>
      <c r="C1790" s="8"/>
      <c r="D1790" s="8"/>
      <c r="E1790" s="13" t="str">
        <f>IF(ISBLANK(D1790), "", VLOOKUP(D1790, Config!$F$6:$G$17, 2, FALSE()))</f>
        <v/>
      </c>
      <c r="F1790" s="16"/>
    </row>
    <row r="1791" ht="15.0" customHeight="1">
      <c r="A1791" s="12"/>
      <c r="B1791" s="13"/>
      <c r="C1791" s="8"/>
      <c r="D1791" s="8"/>
      <c r="E1791" s="13" t="str">
        <f>IF(ISBLANK(D1791), "", VLOOKUP(D1791, Config!$F$6:$G$17, 2, FALSE()))</f>
        <v/>
      </c>
      <c r="F1791" s="16"/>
    </row>
    <row r="1792" ht="15.0" customHeight="1">
      <c r="A1792" s="12"/>
      <c r="B1792" s="13"/>
      <c r="C1792" s="8"/>
      <c r="D1792" s="8"/>
      <c r="E1792" s="13" t="str">
        <f>IF(ISBLANK(D1792), "", VLOOKUP(D1792, Config!$F$6:$G$17, 2, FALSE()))</f>
        <v/>
      </c>
      <c r="F1792" s="16"/>
    </row>
    <row r="1793" ht="15.0" customHeight="1">
      <c r="A1793" s="12"/>
      <c r="B1793" s="13"/>
      <c r="C1793" s="8"/>
      <c r="D1793" s="8"/>
      <c r="E1793" s="13" t="str">
        <f>IF(ISBLANK(D1793), "", VLOOKUP(D1793, Config!$F$6:$G$17, 2, FALSE()))</f>
        <v/>
      </c>
      <c r="F1793" s="16"/>
    </row>
    <row r="1794" ht="15.0" customHeight="1">
      <c r="A1794" s="12"/>
      <c r="B1794" s="13"/>
      <c r="C1794" s="8"/>
      <c r="D1794" s="8"/>
      <c r="E1794" s="13" t="str">
        <f>IF(ISBLANK(D1794), "", VLOOKUP(D1794, Config!$F$6:$G$17, 2, FALSE()))</f>
        <v/>
      </c>
      <c r="F1794" s="16"/>
    </row>
    <row r="1795" ht="15.0" customHeight="1">
      <c r="A1795" s="12"/>
      <c r="B1795" s="13"/>
      <c r="C1795" s="8"/>
      <c r="D1795" s="8"/>
      <c r="E1795" s="13" t="str">
        <f>IF(ISBLANK(D1795), "", VLOOKUP(D1795, Config!$F$6:$G$17, 2, FALSE()))</f>
        <v/>
      </c>
      <c r="F1795" s="16"/>
    </row>
    <row r="1796" ht="15.0" customHeight="1">
      <c r="A1796" s="12"/>
      <c r="B1796" s="13"/>
      <c r="C1796" s="8"/>
      <c r="D1796" s="8"/>
      <c r="E1796" s="13" t="str">
        <f>IF(ISBLANK(D1796), "", VLOOKUP(D1796, Config!$F$6:$G$17, 2, FALSE()))</f>
        <v/>
      </c>
      <c r="F1796" s="16"/>
    </row>
    <row r="1797" ht="15.0" customHeight="1">
      <c r="A1797" s="12"/>
      <c r="B1797" s="13"/>
      <c r="C1797" s="8"/>
      <c r="D1797" s="8"/>
      <c r="E1797" s="13" t="str">
        <f>IF(ISBLANK(D1797), "", VLOOKUP(D1797, Config!$F$6:$G$17, 2, FALSE()))</f>
        <v/>
      </c>
      <c r="F1797" s="16"/>
    </row>
    <row r="1798" ht="15.0" customHeight="1">
      <c r="A1798" s="12"/>
      <c r="B1798" s="13"/>
      <c r="C1798" s="8"/>
      <c r="D1798" s="8"/>
      <c r="E1798" s="13" t="str">
        <f>IF(ISBLANK(D1798), "", VLOOKUP(D1798, Config!$F$6:$G$17, 2, FALSE()))</f>
        <v/>
      </c>
      <c r="F1798" s="16"/>
    </row>
    <row r="1799" ht="15.0" customHeight="1">
      <c r="A1799" s="12"/>
      <c r="B1799" s="13"/>
      <c r="C1799" s="8"/>
      <c r="D1799" s="8"/>
      <c r="E1799" s="13" t="str">
        <f>IF(ISBLANK(D1799), "", VLOOKUP(D1799, Config!$F$6:$G$17, 2, FALSE()))</f>
        <v/>
      </c>
      <c r="F1799" s="16"/>
    </row>
    <row r="1800" ht="15.0" customHeight="1">
      <c r="A1800" s="12"/>
      <c r="B1800" s="13"/>
      <c r="C1800" s="8"/>
      <c r="D1800" s="8"/>
      <c r="E1800" s="13" t="str">
        <f>IF(ISBLANK(D1800), "", VLOOKUP(D1800, Config!$F$6:$G$17, 2, FALSE()))</f>
        <v/>
      </c>
      <c r="F1800" s="16"/>
    </row>
    <row r="1801" ht="15.0" customHeight="1">
      <c r="A1801" s="12"/>
      <c r="B1801" s="13"/>
      <c r="C1801" s="8"/>
      <c r="D1801" s="8"/>
      <c r="E1801" s="13" t="str">
        <f>IF(ISBLANK(D1801), "", VLOOKUP(D1801, Config!$F$6:$G$17, 2, FALSE()))</f>
        <v/>
      </c>
      <c r="F1801" s="16"/>
    </row>
    <row r="1802" ht="15.0" customHeight="1">
      <c r="A1802" s="12"/>
      <c r="B1802" s="13"/>
      <c r="C1802" s="8"/>
      <c r="D1802" s="8"/>
      <c r="E1802" s="13" t="str">
        <f>IF(ISBLANK(D1802), "", VLOOKUP(D1802, Config!$F$6:$G$17, 2, FALSE()))</f>
        <v/>
      </c>
      <c r="F1802" s="16"/>
    </row>
    <row r="1803" ht="15.0" customHeight="1">
      <c r="A1803" s="12"/>
      <c r="B1803" s="13"/>
      <c r="C1803" s="8"/>
      <c r="D1803" s="8"/>
      <c r="E1803" s="13" t="str">
        <f>IF(ISBLANK(D1803), "", VLOOKUP(D1803, Config!$F$6:$G$17, 2, FALSE()))</f>
        <v/>
      </c>
      <c r="F1803" s="16"/>
    </row>
    <row r="1804" ht="15.0" customHeight="1">
      <c r="A1804" s="12"/>
      <c r="B1804" s="13"/>
      <c r="C1804" s="8"/>
      <c r="D1804" s="8"/>
      <c r="E1804" s="13" t="str">
        <f>IF(ISBLANK(D1804), "", VLOOKUP(D1804, Config!$F$6:$G$17, 2, FALSE()))</f>
        <v/>
      </c>
      <c r="F1804" s="16"/>
    </row>
    <row r="1805" ht="15.0" customHeight="1">
      <c r="A1805" s="12"/>
      <c r="B1805" s="13"/>
      <c r="C1805" s="8"/>
      <c r="D1805" s="8"/>
      <c r="E1805" s="13" t="str">
        <f>IF(ISBLANK(D1805), "", VLOOKUP(D1805, Config!$F$6:$G$17, 2, FALSE()))</f>
        <v/>
      </c>
      <c r="F1805" s="16"/>
    </row>
    <row r="1806" ht="15.0" customHeight="1">
      <c r="A1806" s="12"/>
      <c r="B1806" s="13"/>
      <c r="C1806" s="8"/>
      <c r="D1806" s="8"/>
      <c r="E1806" s="13" t="str">
        <f>IF(ISBLANK(D1806), "", VLOOKUP(D1806, Config!$F$6:$G$17, 2, FALSE()))</f>
        <v/>
      </c>
      <c r="F1806" s="16"/>
    </row>
    <row r="1807" ht="15.0" customHeight="1">
      <c r="A1807" s="12"/>
      <c r="B1807" s="13"/>
      <c r="C1807" s="8"/>
      <c r="D1807" s="8"/>
      <c r="E1807" s="13" t="str">
        <f>IF(ISBLANK(D1807), "", VLOOKUP(D1807, Config!$F$6:$G$17, 2, FALSE()))</f>
        <v/>
      </c>
      <c r="F1807" s="16"/>
    </row>
    <row r="1808" ht="15.0" customHeight="1">
      <c r="A1808" s="12"/>
      <c r="B1808" s="13"/>
      <c r="C1808" s="8"/>
      <c r="D1808" s="8"/>
      <c r="E1808" s="13" t="str">
        <f>IF(ISBLANK(D1808), "", VLOOKUP(D1808, Config!$F$6:$G$17, 2, FALSE()))</f>
        <v/>
      </c>
      <c r="F1808" s="16"/>
    </row>
    <row r="1809" ht="15.0" customHeight="1">
      <c r="A1809" s="12"/>
      <c r="B1809" s="13"/>
      <c r="C1809" s="8"/>
      <c r="D1809" s="8"/>
      <c r="E1809" s="13" t="str">
        <f>IF(ISBLANK(D1809), "", VLOOKUP(D1809, Config!$F$6:$G$17, 2, FALSE()))</f>
        <v/>
      </c>
      <c r="F1809" s="16"/>
    </row>
    <row r="1810" ht="15.0" customHeight="1">
      <c r="A1810" s="12"/>
      <c r="B1810" s="13"/>
      <c r="C1810" s="8"/>
      <c r="D1810" s="8"/>
      <c r="E1810" s="13" t="str">
        <f>IF(ISBLANK(D1810), "", VLOOKUP(D1810, Config!$F$6:$G$17, 2, FALSE()))</f>
        <v/>
      </c>
      <c r="F1810" s="16"/>
    </row>
    <row r="1811" ht="15.0" customHeight="1">
      <c r="A1811" s="12"/>
      <c r="B1811" s="13"/>
      <c r="C1811" s="8"/>
      <c r="D1811" s="8"/>
      <c r="E1811" s="13" t="str">
        <f>IF(ISBLANK(D1811), "", VLOOKUP(D1811, Config!$F$6:$G$17, 2, FALSE()))</f>
        <v/>
      </c>
      <c r="F1811" s="16"/>
    </row>
    <row r="1812" ht="15.0" customHeight="1">
      <c r="A1812" s="12"/>
      <c r="B1812" s="13"/>
      <c r="C1812" s="8"/>
      <c r="D1812" s="8"/>
      <c r="E1812" s="13" t="str">
        <f>IF(ISBLANK(D1812), "", VLOOKUP(D1812, Config!$F$6:$G$17, 2, FALSE()))</f>
        <v/>
      </c>
      <c r="F1812" s="16"/>
    </row>
    <row r="1813" ht="15.0" customHeight="1">
      <c r="A1813" s="12"/>
      <c r="B1813" s="13"/>
      <c r="C1813" s="8"/>
      <c r="D1813" s="8"/>
      <c r="E1813" s="13" t="str">
        <f>IF(ISBLANK(D1813), "", VLOOKUP(D1813, Config!$F$6:$G$17, 2, FALSE()))</f>
        <v/>
      </c>
      <c r="F1813" s="16"/>
    </row>
    <row r="1814" ht="15.0" customHeight="1">
      <c r="A1814" s="12"/>
      <c r="B1814" s="13"/>
      <c r="C1814" s="8"/>
      <c r="D1814" s="8"/>
      <c r="E1814" s="13" t="str">
        <f>IF(ISBLANK(D1814), "", VLOOKUP(D1814, Config!$F$6:$G$17, 2, FALSE()))</f>
        <v/>
      </c>
      <c r="F1814" s="16"/>
    </row>
    <row r="1815" ht="15.0" customHeight="1">
      <c r="A1815" s="12"/>
      <c r="B1815" s="13"/>
      <c r="C1815" s="8"/>
      <c r="D1815" s="8"/>
      <c r="E1815" s="13" t="str">
        <f>IF(ISBLANK(D1815), "", VLOOKUP(D1815, Config!$F$6:$G$17, 2, FALSE()))</f>
        <v/>
      </c>
      <c r="F1815" s="16"/>
    </row>
    <row r="1816" ht="15.0" customHeight="1">
      <c r="A1816" s="12"/>
      <c r="B1816" s="13"/>
      <c r="C1816" s="8"/>
      <c r="D1816" s="8"/>
      <c r="E1816" s="13" t="str">
        <f>IF(ISBLANK(D1816), "", VLOOKUP(D1816, Config!$F$6:$G$17, 2, FALSE()))</f>
        <v/>
      </c>
      <c r="F1816" s="16"/>
    </row>
    <row r="1817" ht="15.0" customHeight="1">
      <c r="A1817" s="12"/>
      <c r="B1817" s="13"/>
      <c r="C1817" s="8"/>
      <c r="D1817" s="8"/>
      <c r="E1817" s="13" t="str">
        <f>IF(ISBLANK(D1817), "", VLOOKUP(D1817, Config!$F$6:$G$17, 2, FALSE()))</f>
        <v/>
      </c>
      <c r="F1817" s="16"/>
    </row>
    <row r="1818" ht="15.0" customHeight="1">
      <c r="A1818" s="12"/>
      <c r="B1818" s="13"/>
      <c r="C1818" s="8"/>
      <c r="D1818" s="8"/>
      <c r="E1818" s="13" t="str">
        <f>IF(ISBLANK(D1818), "", VLOOKUP(D1818, Config!$F$6:$G$17, 2, FALSE()))</f>
        <v/>
      </c>
      <c r="F1818" s="16"/>
    </row>
    <row r="1819" ht="15.0" customHeight="1">
      <c r="A1819" s="12"/>
      <c r="B1819" s="13"/>
      <c r="C1819" s="8"/>
      <c r="D1819" s="8"/>
      <c r="E1819" s="13" t="str">
        <f>IF(ISBLANK(D1819), "", VLOOKUP(D1819, Config!$F$6:$G$17, 2, FALSE()))</f>
        <v/>
      </c>
      <c r="F1819" s="16"/>
    </row>
    <row r="1820" ht="15.0" customHeight="1">
      <c r="A1820" s="12"/>
      <c r="B1820" s="13"/>
      <c r="C1820" s="8"/>
      <c r="D1820" s="8"/>
      <c r="E1820" s="13" t="str">
        <f>IF(ISBLANK(D1820), "", VLOOKUP(D1820, Config!$F$6:$G$17, 2, FALSE()))</f>
        <v/>
      </c>
      <c r="F1820" s="16"/>
    </row>
    <row r="1821" ht="15.0" customHeight="1">
      <c r="A1821" s="12"/>
      <c r="B1821" s="13"/>
      <c r="C1821" s="8"/>
      <c r="D1821" s="8"/>
      <c r="E1821" s="13" t="str">
        <f>IF(ISBLANK(D1821), "", VLOOKUP(D1821, Config!$F$6:$G$17, 2, FALSE()))</f>
        <v/>
      </c>
      <c r="F1821" s="16"/>
    </row>
    <row r="1822" ht="15.0" customHeight="1">
      <c r="A1822" s="12"/>
      <c r="B1822" s="13"/>
      <c r="C1822" s="8"/>
      <c r="D1822" s="8"/>
      <c r="E1822" s="13" t="str">
        <f>IF(ISBLANK(D1822), "", VLOOKUP(D1822, Config!$F$6:$G$17, 2, FALSE()))</f>
        <v/>
      </c>
      <c r="F1822" s="16"/>
    </row>
    <row r="1823" ht="15.0" customHeight="1">
      <c r="A1823" s="12"/>
      <c r="B1823" s="13"/>
      <c r="C1823" s="8"/>
      <c r="D1823" s="8"/>
      <c r="E1823" s="13" t="str">
        <f>IF(ISBLANK(D1823), "", VLOOKUP(D1823, Config!$F$6:$G$17, 2, FALSE()))</f>
        <v/>
      </c>
      <c r="F1823" s="16"/>
    </row>
    <row r="1824" ht="15.0" customHeight="1">
      <c r="A1824" s="12"/>
      <c r="B1824" s="13"/>
      <c r="C1824" s="8"/>
      <c r="D1824" s="8"/>
      <c r="E1824" s="13" t="str">
        <f>IF(ISBLANK(D1824), "", VLOOKUP(D1824, Config!$F$6:$G$17, 2, FALSE()))</f>
        <v/>
      </c>
      <c r="F1824" s="16"/>
    </row>
    <row r="1825" ht="15.0" customHeight="1">
      <c r="A1825" s="12"/>
      <c r="B1825" s="13"/>
      <c r="C1825" s="8"/>
      <c r="D1825" s="8"/>
      <c r="E1825" s="13" t="str">
        <f>IF(ISBLANK(D1825), "", VLOOKUP(D1825, Config!$F$6:$G$17, 2, FALSE()))</f>
        <v/>
      </c>
      <c r="F1825" s="16"/>
    </row>
    <row r="1826" ht="15.0" customHeight="1">
      <c r="A1826" s="12"/>
      <c r="B1826" s="13"/>
      <c r="C1826" s="8"/>
      <c r="D1826" s="8"/>
      <c r="E1826" s="13" t="str">
        <f>IF(ISBLANK(D1826), "", VLOOKUP(D1826, Config!$F$6:$G$17, 2, FALSE()))</f>
        <v/>
      </c>
      <c r="F1826" s="16"/>
    </row>
    <row r="1827" ht="15.0" customHeight="1">
      <c r="A1827" s="12"/>
      <c r="B1827" s="13"/>
      <c r="C1827" s="8"/>
      <c r="D1827" s="8"/>
      <c r="E1827" s="13" t="str">
        <f>IF(ISBLANK(D1827), "", VLOOKUP(D1827, Config!$F$6:$G$17, 2, FALSE()))</f>
        <v/>
      </c>
      <c r="F1827" s="16"/>
    </row>
    <row r="1828" ht="15.0" customHeight="1">
      <c r="A1828" s="12"/>
      <c r="B1828" s="13"/>
      <c r="C1828" s="8"/>
      <c r="D1828" s="8"/>
      <c r="E1828" s="13" t="str">
        <f>IF(ISBLANK(D1828), "", VLOOKUP(D1828, Config!$F$6:$G$17, 2, FALSE()))</f>
        <v/>
      </c>
      <c r="F1828" s="16"/>
    </row>
    <row r="1829" ht="15.0" customHeight="1">
      <c r="A1829" s="12"/>
      <c r="B1829" s="13"/>
      <c r="C1829" s="8"/>
      <c r="D1829" s="8"/>
      <c r="E1829" s="13" t="str">
        <f>IF(ISBLANK(D1829), "", VLOOKUP(D1829, Config!$F$6:$G$17, 2, FALSE()))</f>
        <v/>
      </c>
      <c r="F1829" s="16"/>
    </row>
    <row r="1830" ht="15.0" customHeight="1">
      <c r="A1830" s="12"/>
      <c r="B1830" s="13"/>
      <c r="C1830" s="8"/>
      <c r="D1830" s="8"/>
      <c r="E1830" s="13" t="str">
        <f>IF(ISBLANK(D1830), "", VLOOKUP(D1830, Config!$F$6:$G$17, 2, FALSE()))</f>
        <v/>
      </c>
      <c r="F1830" s="16"/>
    </row>
    <row r="1831" ht="15.0" customHeight="1">
      <c r="A1831" s="12"/>
      <c r="B1831" s="13"/>
      <c r="C1831" s="8"/>
      <c r="D1831" s="8"/>
      <c r="E1831" s="13" t="str">
        <f>IF(ISBLANK(D1831), "", VLOOKUP(D1831, Config!$F$6:$G$17, 2, FALSE()))</f>
        <v/>
      </c>
      <c r="F1831" s="16"/>
    </row>
    <row r="1832" ht="15.0" customHeight="1">
      <c r="A1832" s="12"/>
      <c r="B1832" s="13"/>
      <c r="C1832" s="8"/>
      <c r="D1832" s="8"/>
      <c r="E1832" s="13" t="str">
        <f>IF(ISBLANK(D1832), "", VLOOKUP(D1832, Config!$F$6:$G$17, 2, FALSE()))</f>
        <v/>
      </c>
      <c r="F1832" s="16"/>
    </row>
    <row r="1833" ht="15.0" customHeight="1">
      <c r="A1833" s="12"/>
      <c r="B1833" s="13"/>
      <c r="C1833" s="8"/>
      <c r="D1833" s="8"/>
      <c r="E1833" s="13" t="str">
        <f>IF(ISBLANK(D1833), "", VLOOKUP(D1833, Config!$F$6:$G$17, 2, FALSE()))</f>
        <v/>
      </c>
      <c r="F1833" s="16"/>
    </row>
    <row r="1834" ht="15.0" customHeight="1">
      <c r="A1834" s="12"/>
      <c r="B1834" s="13"/>
      <c r="C1834" s="8"/>
      <c r="D1834" s="8"/>
      <c r="E1834" s="13" t="str">
        <f>IF(ISBLANK(D1834), "", VLOOKUP(D1834, Config!$F$6:$G$17, 2, FALSE()))</f>
        <v/>
      </c>
      <c r="F1834" s="16"/>
    </row>
    <row r="1835" ht="15.0" customHeight="1">
      <c r="A1835" s="12"/>
      <c r="B1835" s="13"/>
      <c r="C1835" s="8"/>
      <c r="D1835" s="8"/>
      <c r="E1835" s="13" t="str">
        <f>IF(ISBLANK(D1835), "", VLOOKUP(D1835, Config!$F$6:$G$17, 2, FALSE()))</f>
        <v/>
      </c>
      <c r="F1835" s="16"/>
    </row>
    <row r="1836" ht="15.0" customHeight="1">
      <c r="A1836" s="12"/>
      <c r="B1836" s="13"/>
      <c r="C1836" s="8"/>
      <c r="D1836" s="8"/>
      <c r="E1836" s="13" t="str">
        <f>IF(ISBLANK(D1836), "", VLOOKUP(D1836, Config!$F$6:$G$17, 2, FALSE()))</f>
        <v/>
      </c>
      <c r="F1836" s="16"/>
    </row>
    <row r="1837" ht="15.0" customHeight="1">
      <c r="A1837" s="12"/>
      <c r="B1837" s="13"/>
      <c r="C1837" s="8"/>
      <c r="D1837" s="8"/>
      <c r="E1837" s="13" t="str">
        <f>IF(ISBLANK(D1837), "", VLOOKUP(D1837, Config!$F$6:$G$17, 2, FALSE()))</f>
        <v/>
      </c>
      <c r="F1837" s="16"/>
    </row>
    <row r="1838" ht="15.0" customHeight="1">
      <c r="A1838" s="12"/>
      <c r="B1838" s="13"/>
      <c r="C1838" s="8"/>
      <c r="D1838" s="8"/>
      <c r="E1838" s="13" t="str">
        <f>IF(ISBLANK(D1838), "", VLOOKUP(D1838, Config!$F$6:$G$17, 2, FALSE()))</f>
        <v/>
      </c>
      <c r="F1838" s="16"/>
    </row>
    <row r="1839" ht="15.0" customHeight="1">
      <c r="A1839" s="12"/>
      <c r="B1839" s="13"/>
      <c r="C1839" s="8"/>
      <c r="D1839" s="8"/>
      <c r="E1839" s="13" t="str">
        <f>IF(ISBLANK(D1839), "", VLOOKUP(D1839, Config!$F$6:$G$17, 2, FALSE()))</f>
        <v/>
      </c>
      <c r="F1839" s="16"/>
    </row>
    <row r="1840" ht="15.0" customHeight="1">
      <c r="A1840" s="12"/>
      <c r="B1840" s="13"/>
      <c r="C1840" s="8"/>
      <c r="D1840" s="8"/>
      <c r="E1840" s="13" t="str">
        <f>IF(ISBLANK(D1840), "", VLOOKUP(D1840, Config!$F$6:$G$17, 2, FALSE()))</f>
        <v/>
      </c>
      <c r="F1840" s="16"/>
    </row>
    <row r="1841" ht="15.0" customHeight="1">
      <c r="A1841" s="12"/>
      <c r="B1841" s="13"/>
      <c r="C1841" s="8"/>
      <c r="D1841" s="8"/>
      <c r="E1841" s="13" t="str">
        <f>IF(ISBLANK(D1841), "", VLOOKUP(D1841, Config!$F$6:$G$17, 2, FALSE()))</f>
        <v/>
      </c>
      <c r="F1841" s="16"/>
    </row>
    <row r="1842" ht="15.0" customHeight="1">
      <c r="A1842" s="12"/>
      <c r="B1842" s="13"/>
      <c r="C1842" s="8"/>
      <c r="D1842" s="8"/>
      <c r="E1842" s="13" t="str">
        <f>IF(ISBLANK(D1842), "", VLOOKUP(D1842, Config!$F$6:$G$17, 2, FALSE()))</f>
        <v/>
      </c>
      <c r="F1842" s="16"/>
    </row>
    <row r="1843" ht="15.0" customHeight="1">
      <c r="A1843" s="12"/>
      <c r="B1843" s="13"/>
      <c r="C1843" s="8"/>
      <c r="D1843" s="8"/>
      <c r="E1843" s="13" t="str">
        <f>IF(ISBLANK(D1843), "", VLOOKUP(D1843, Config!$F$6:$G$17, 2, FALSE()))</f>
        <v/>
      </c>
      <c r="F1843" s="16"/>
    </row>
    <row r="1844" ht="15.0" customHeight="1">
      <c r="A1844" s="12"/>
      <c r="B1844" s="13"/>
      <c r="C1844" s="8"/>
      <c r="D1844" s="8"/>
      <c r="E1844" s="13" t="str">
        <f>IF(ISBLANK(D1844), "", VLOOKUP(D1844, Config!$F$6:$G$17, 2, FALSE()))</f>
        <v/>
      </c>
      <c r="F1844" s="16"/>
    </row>
    <row r="1845" ht="15.0" customHeight="1">
      <c r="A1845" s="12"/>
      <c r="B1845" s="13"/>
      <c r="C1845" s="8"/>
      <c r="D1845" s="8"/>
      <c r="E1845" s="13" t="str">
        <f>IF(ISBLANK(D1845), "", VLOOKUP(D1845, Config!$F$6:$G$17, 2, FALSE()))</f>
        <v/>
      </c>
      <c r="F1845" s="16"/>
    </row>
    <row r="1846" ht="15.0" customHeight="1">
      <c r="A1846" s="12"/>
      <c r="B1846" s="13"/>
      <c r="C1846" s="8"/>
      <c r="D1846" s="8"/>
      <c r="E1846" s="13" t="str">
        <f>IF(ISBLANK(D1846), "", VLOOKUP(D1846, Config!$F$6:$G$17, 2, FALSE()))</f>
        <v/>
      </c>
      <c r="F1846" s="16"/>
    </row>
    <row r="1847" ht="15.0" customHeight="1">
      <c r="A1847" s="12"/>
      <c r="B1847" s="13"/>
      <c r="C1847" s="8"/>
      <c r="D1847" s="8"/>
      <c r="E1847" s="13" t="str">
        <f>IF(ISBLANK(D1847), "", VLOOKUP(D1847, Config!$F$6:$G$17, 2, FALSE()))</f>
        <v/>
      </c>
      <c r="F1847" s="16"/>
    </row>
    <row r="1848" ht="15.0" customHeight="1">
      <c r="A1848" s="12"/>
      <c r="B1848" s="13"/>
      <c r="C1848" s="8"/>
      <c r="D1848" s="8"/>
      <c r="E1848" s="13" t="str">
        <f>IF(ISBLANK(D1848), "", VLOOKUP(D1848, Config!$F$6:$G$17, 2, FALSE()))</f>
        <v/>
      </c>
      <c r="F1848" s="16"/>
    </row>
    <row r="1849" ht="15.0" customHeight="1">
      <c r="A1849" s="12"/>
      <c r="B1849" s="13"/>
      <c r="C1849" s="8"/>
      <c r="D1849" s="8"/>
      <c r="E1849" s="13" t="str">
        <f>IF(ISBLANK(D1849), "", VLOOKUP(D1849, Config!$F$6:$G$17, 2, FALSE()))</f>
        <v/>
      </c>
      <c r="F1849" s="16"/>
    </row>
    <row r="1850" ht="15.0" customHeight="1">
      <c r="A1850" s="12"/>
      <c r="B1850" s="13"/>
      <c r="C1850" s="8"/>
      <c r="D1850" s="8"/>
      <c r="E1850" s="13" t="str">
        <f>IF(ISBLANK(D1850), "", VLOOKUP(D1850, Config!$F$6:$G$17, 2, FALSE()))</f>
        <v/>
      </c>
      <c r="F1850" s="16"/>
    </row>
    <row r="1851" ht="15.0" customHeight="1">
      <c r="A1851" s="12"/>
      <c r="B1851" s="13"/>
      <c r="C1851" s="8"/>
      <c r="D1851" s="8"/>
      <c r="E1851" s="13" t="str">
        <f>IF(ISBLANK(D1851), "", VLOOKUP(D1851, Config!$F$6:$G$17, 2, FALSE()))</f>
        <v/>
      </c>
      <c r="F1851" s="16"/>
    </row>
    <row r="1852" ht="15.0" customHeight="1">
      <c r="A1852" s="12"/>
      <c r="B1852" s="13"/>
      <c r="C1852" s="8"/>
      <c r="D1852" s="8"/>
      <c r="E1852" s="13" t="str">
        <f>IF(ISBLANK(D1852), "", VLOOKUP(D1852, Config!$F$6:$G$17, 2, FALSE()))</f>
        <v/>
      </c>
      <c r="F1852" s="16"/>
    </row>
    <row r="1853" ht="15.0" customHeight="1">
      <c r="A1853" s="12"/>
      <c r="B1853" s="13"/>
      <c r="C1853" s="8"/>
      <c r="D1853" s="8"/>
      <c r="E1853" s="13" t="str">
        <f>IF(ISBLANK(D1853), "", VLOOKUP(D1853, Config!$F$6:$G$17, 2, FALSE()))</f>
        <v/>
      </c>
      <c r="F1853" s="16"/>
    </row>
    <row r="1854" ht="15.0" customHeight="1">
      <c r="A1854" s="12"/>
      <c r="B1854" s="13"/>
      <c r="C1854" s="8"/>
      <c r="D1854" s="8"/>
      <c r="E1854" s="13" t="str">
        <f>IF(ISBLANK(D1854), "", VLOOKUP(D1854, Config!$F$6:$G$17, 2, FALSE()))</f>
        <v/>
      </c>
      <c r="F1854" s="16"/>
    </row>
    <row r="1855" ht="15.0" customHeight="1">
      <c r="A1855" s="12"/>
      <c r="B1855" s="13"/>
      <c r="C1855" s="8"/>
      <c r="D1855" s="8"/>
      <c r="E1855" s="13" t="str">
        <f>IF(ISBLANK(D1855), "", VLOOKUP(D1855, Config!$F$6:$G$17, 2, FALSE()))</f>
        <v/>
      </c>
      <c r="F1855" s="16"/>
    </row>
    <row r="1856" ht="15.0" customHeight="1">
      <c r="A1856" s="12"/>
      <c r="B1856" s="13"/>
      <c r="C1856" s="8"/>
      <c r="D1856" s="8"/>
      <c r="E1856" s="13" t="str">
        <f>IF(ISBLANK(D1856), "", VLOOKUP(D1856, Config!$F$6:$G$17, 2, FALSE()))</f>
        <v/>
      </c>
      <c r="F1856" s="16"/>
    </row>
    <row r="1857" ht="15.0" customHeight="1">
      <c r="A1857" s="12"/>
      <c r="B1857" s="13"/>
      <c r="C1857" s="8"/>
      <c r="D1857" s="8"/>
      <c r="E1857" s="13" t="str">
        <f>IF(ISBLANK(D1857), "", VLOOKUP(D1857, Config!$F$6:$G$17, 2, FALSE()))</f>
        <v/>
      </c>
      <c r="F1857" s="16"/>
    </row>
    <row r="1858" ht="15.0" customHeight="1">
      <c r="A1858" s="12"/>
      <c r="B1858" s="13"/>
      <c r="C1858" s="8"/>
      <c r="D1858" s="8"/>
      <c r="E1858" s="13" t="str">
        <f>IF(ISBLANK(D1858), "", VLOOKUP(D1858, Config!$F$6:$G$17, 2, FALSE()))</f>
        <v/>
      </c>
      <c r="F1858" s="16"/>
    </row>
    <row r="1859" ht="15.0" customHeight="1">
      <c r="A1859" s="12"/>
      <c r="B1859" s="13"/>
      <c r="C1859" s="8"/>
      <c r="D1859" s="8"/>
      <c r="E1859" s="13" t="str">
        <f>IF(ISBLANK(D1859), "", VLOOKUP(D1859, Config!$F$6:$G$17, 2, FALSE()))</f>
        <v/>
      </c>
      <c r="F1859" s="16"/>
    </row>
    <row r="1860" ht="15.0" customHeight="1">
      <c r="A1860" s="12"/>
      <c r="B1860" s="13"/>
      <c r="C1860" s="8"/>
      <c r="D1860" s="8"/>
      <c r="E1860" s="13" t="str">
        <f>IF(ISBLANK(D1860), "", VLOOKUP(D1860, Config!$F$6:$G$17, 2, FALSE()))</f>
        <v/>
      </c>
      <c r="F1860" s="16"/>
    </row>
    <row r="1861" ht="15.0" customHeight="1">
      <c r="A1861" s="12"/>
      <c r="B1861" s="13"/>
      <c r="C1861" s="8"/>
      <c r="D1861" s="8"/>
      <c r="E1861" s="13" t="str">
        <f>IF(ISBLANK(D1861), "", VLOOKUP(D1861, Config!$F$6:$G$17, 2, FALSE()))</f>
        <v/>
      </c>
      <c r="F1861" s="16"/>
    </row>
    <row r="1862" ht="15.0" customHeight="1">
      <c r="A1862" s="12"/>
      <c r="B1862" s="13"/>
      <c r="C1862" s="8"/>
      <c r="D1862" s="8"/>
      <c r="E1862" s="13" t="str">
        <f>IF(ISBLANK(D1862), "", VLOOKUP(D1862, Config!$F$6:$G$17, 2, FALSE()))</f>
        <v/>
      </c>
      <c r="F1862" s="16"/>
    </row>
    <row r="1863" ht="15.0" customHeight="1">
      <c r="A1863" s="12"/>
      <c r="B1863" s="13"/>
      <c r="C1863" s="8"/>
      <c r="D1863" s="8"/>
      <c r="E1863" s="13" t="str">
        <f>IF(ISBLANK(D1863), "", VLOOKUP(D1863, Config!$F$6:$G$17, 2, FALSE()))</f>
        <v/>
      </c>
      <c r="F1863" s="16"/>
    </row>
    <row r="1864" ht="15.0" customHeight="1">
      <c r="A1864" s="12"/>
      <c r="B1864" s="13"/>
      <c r="C1864" s="8"/>
      <c r="D1864" s="8"/>
      <c r="E1864" s="13" t="str">
        <f>IF(ISBLANK(D1864), "", VLOOKUP(D1864, Config!$F$6:$G$17, 2, FALSE()))</f>
        <v/>
      </c>
      <c r="F1864" s="16"/>
    </row>
    <row r="1865" ht="15.0" customHeight="1">
      <c r="A1865" s="12"/>
      <c r="B1865" s="13"/>
      <c r="C1865" s="8"/>
      <c r="D1865" s="8"/>
      <c r="E1865" s="13" t="str">
        <f>IF(ISBLANK(D1865), "", VLOOKUP(D1865, Config!$F$6:$G$17, 2, FALSE()))</f>
        <v/>
      </c>
      <c r="F1865" s="16"/>
    </row>
    <row r="1866" ht="15.0" customHeight="1">
      <c r="A1866" s="12"/>
      <c r="B1866" s="13"/>
      <c r="C1866" s="8"/>
      <c r="D1866" s="8"/>
      <c r="E1866" s="13" t="str">
        <f>IF(ISBLANK(D1866), "", VLOOKUP(D1866, Config!$F$6:$G$17, 2, FALSE()))</f>
        <v/>
      </c>
      <c r="F1866" s="16"/>
    </row>
    <row r="1867" ht="15.0" customHeight="1">
      <c r="A1867" s="12"/>
      <c r="B1867" s="13"/>
      <c r="C1867" s="8"/>
      <c r="D1867" s="8"/>
      <c r="E1867" s="13" t="str">
        <f>IF(ISBLANK(D1867), "", VLOOKUP(D1867, Config!$F$6:$G$17, 2, FALSE()))</f>
        <v/>
      </c>
      <c r="F1867" s="16"/>
    </row>
    <row r="1868" ht="15.0" customHeight="1">
      <c r="A1868" s="12"/>
      <c r="B1868" s="13"/>
      <c r="C1868" s="8"/>
      <c r="D1868" s="8"/>
      <c r="E1868" s="13" t="str">
        <f>IF(ISBLANK(D1868), "", VLOOKUP(D1868, Config!$F$6:$G$17, 2, FALSE()))</f>
        <v/>
      </c>
      <c r="F1868" s="16"/>
    </row>
    <row r="1869" ht="15.0" customHeight="1">
      <c r="A1869" s="12"/>
      <c r="B1869" s="13"/>
      <c r="C1869" s="8"/>
      <c r="D1869" s="8"/>
      <c r="E1869" s="13" t="str">
        <f>IF(ISBLANK(D1869), "", VLOOKUP(D1869, Config!$F$6:$G$17, 2, FALSE()))</f>
        <v/>
      </c>
      <c r="F1869" s="16"/>
    </row>
    <row r="1870" ht="15.0" customHeight="1">
      <c r="A1870" s="12"/>
      <c r="B1870" s="13"/>
      <c r="C1870" s="8"/>
      <c r="D1870" s="8"/>
      <c r="E1870" s="13" t="str">
        <f>IF(ISBLANK(D1870), "", VLOOKUP(D1870, Config!$F$6:$G$17, 2, FALSE()))</f>
        <v/>
      </c>
      <c r="F1870" s="16"/>
    </row>
    <row r="1871" ht="15.0" customHeight="1">
      <c r="A1871" s="12"/>
      <c r="B1871" s="13"/>
      <c r="C1871" s="8"/>
      <c r="D1871" s="8"/>
      <c r="E1871" s="13" t="str">
        <f>IF(ISBLANK(D1871), "", VLOOKUP(D1871, Config!$F$6:$G$17, 2, FALSE()))</f>
        <v/>
      </c>
      <c r="F1871" s="16"/>
    </row>
    <row r="1872" ht="15.0" customHeight="1">
      <c r="A1872" s="12"/>
      <c r="B1872" s="13"/>
      <c r="C1872" s="8"/>
      <c r="D1872" s="8"/>
      <c r="E1872" s="13" t="str">
        <f>IF(ISBLANK(D1872), "", VLOOKUP(D1872, Config!$F$6:$G$17, 2, FALSE()))</f>
        <v/>
      </c>
      <c r="F1872" s="16"/>
    </row>
    <row r="1873" ht="15.0" customHeight="1">
      <c r="A1873" s="12"/>
      <c r="B1873" s="13"/>
      <c r="C1873" s="8"/>
      <c r="D1873" s="8"/>
      <c r="E1873" s="13" t="str">
        <f>IF(ISBLANK(D1873), "", VLOOKUP(D1873, Config!$F$6:$G$17, 2, FALSE()))</f>
        <v/>
      </c>
      <c r="F1873" s="16"/>
    </row>
    <row r="1874" ht="15.0" customHeight="1">
      <c r="A1874" s="12"/>
      <c r="B1874" s="13"/>
      <c r="C1874" s="8"/>
      <c r="D1874" s="8"/>
      <c r="E1874" s="13" t="str">
        <f>IF(ISBLANK(D1874), "", VLOOKUP(D1874, Config!$F$6:$G$17, 2, FALSE()))</f>
        <v/>
      </c>
      <c r="F1874" s="16"/>
    </row>
    <row r="1875" ht="15.0" customHeight="1">
      <c r="A1875" s="12"/>
      <c r="B1875" s="13"/>
      <c r="C1875" s="8"/>
      <c r="D1875" s="8"/>
      <c r="E1875" s="13" t="str">
        <f>IF(ISBLANK(D1875), "", VLOOKUP(D1875, Config!$F$6:$G$17, 2, FALSE()))</f>
        <v/>
      </c>
      <c r="F1875" s="16"/>
    </row>
    <row r="1876" ht="15.0" customHeight="1">
      <c r="A1876" s="12"/>
      <c r="B1876" s="13"/>
      <c r="C1876" s="8"/>
      <c r="D1876" s="8"/>
      <c r="E1876" s="13" t="str">
        <f>IF(ISBLANK(D1876), "", VLOOKUP(D1876, Config!$F$6:$G$17, 2, FALSE()))</f>
        <v/>
      </c>
      <c r="F1876" s="16"/>
    </row>
    <row r="1877" ht="15.0" customHeight="1">
      <c r="A1877" s="12"/>
      <c r="B1877" s="13"/>
      <c r="C1877" s="8"/>
      <c r="D1877" s="8"/>
      <c r="E1877" s="13" t="str">
        <f>IF(ISBLANK(D1877), "", VLOOKUP(D1877, Config!$F$6:$G$17, 2, FALSE()))</f>
        <v/>
      </c>
      <c r="F1877" s="16"/>
    </row>
    <row r="1878" ht="15.0" customHeight="1">
      <c r="A1878" s="12"/>
      <c r="B1878" s="13"/>
      <c r="C1878" s="8"/>
      <c r="D1878" s="8"/>
      <c r="E1878" s="13" t="str">
        <f>IF(ISBLANK(D1878), "", VLOOKUP(D1878, Config!$F$6:$G$17, 2, FALSE()))</f>
        <v/>
      </c>
      <c r="F1878" s="16"/>
    </row>
    <row r="1879" ht="15.0" customHeight="1">
      <c r="A1879" s="12"/>
      <c r="B1879" s="13"/>
      <c r="C1879" s="8"/>
      <c r="D1879" s="8"/>
      <c r="E1879" s="13" t="str">
        <f>IF(ISBLANK(D1879), "", VLOOKUP(D1879, Config!$F$6:$G$17, 2, FALSE()))</f>
        <v/>
      </c>
      <c r="F1879" s="16"/>
    </row>
    <row r="1880" ht="15.0" customHeight="1">
      <c r="A1880" s="12"/>
      <c r="B1880" s="13"/>
      <c r="C1880" s="8"/>
      <c r="D1880" s="8"/>
      <c r="E1880" s="13" t="str">
        <f>IF(ISBLANK(D1880), "", VLOOKUP(D1880, Config!$F$6:$G$17, 2, FALSE()))</f>
        <v/>
      </c>
      <c r="F1880" s="16"/>
    </row>
    <row r="1881" ht="15.0" customHeight="1">
      <c r="A1881" s="12"/>
      <c r="B1881" s="13"/>
      <c r="C1881" s="8"/>
      <c r="D1881" s="8"/>
      <c r="E1881" s="13" t="str">
        <f>IF(ISBLANK(D1881), "", VLOOKUP(D1881, Config!$F$6:$G$17, 2, FALSE()))</f>
        <v/>
      </c>
      <c r="F1881" s="16"/>
    </row>
    <row r="1882" ht="15.0" customHeight="1">
      <c r="A1882" s="12"/>
      <c r="B1882" s="13"/>
      <c r="C1882" s="8"/>
      <c r="D1882" s="8"/>
      <c r="E1882" s="13" t="str">
        <f>IF(ISBLANK(D1882), "", VLOOKUP(D1882, Config!$F$6:$G$17, 2, FALSE()))</f>
        <v/>
      </c>
      <c r="F1882" s="16"/>
    </row>
    <row r="1883" ht="15.0" customHeight="1">
      <c r="A1883" s="12"/>
      <c r="B1883" s="13"/>
      <c r="C1883" s="8"/>
      <c r="D1883" s="8"/>
      <c r="E1883" s="13" t="str">
        <f>IF(ISBLANK(D1883), "", VLOOKUP(D1883, Config!$F$6:$G$17, 2, FALSE()))</f>
        <v/>
      </c>
      <c r="F1883" s="16"/>
    </row>
    <row r="1884" ht="15.0" customHeight="1">
      <c r="A1884" s="12"/>
      <c r="B1884" s="13"/>
      <c r="C1884" s="8"/>
      <c r="D1884" s="8"/>
      <c r="E1884" s="13" t="str">
        <f>IF(ISBLANK(D1884), "", VLOOKUP(D1884, Config!$F$6:$G$17, 2, FALSE()))</f>
        <v/>
      </c>
      <c r="F1884" s="16"/>
    </row>
    <row r="1885" ht="15.0" customHeight="1">
      <c r="A1885" s="12"/>
      <c r="B1885" s="13"/>
      <c r="C1885" s="8"/>
      <c r="D1885" s="8"/>
      <c r="E1885" s="13" t="str">
        <f>IF(ISBLANK(D1885), "", VLOOKUP(D1885, Config!$F$6:$G$17, 2, FALSE()))</f>
        <v/>
      </c>
      <c r="F1885" s="16"/>
    </row>
    <row r="1886" ht="15.0" customHeight="1">
      <c r="A1886" s="12"/>
      <c r="B1886" s="13"/>
      <c r="C1886" s="8"/>
      <c r="D1886" s="8"/>
      <c r="E1886" s="13" t="str">
        <f>IF(ISBLANK(D1886), "", VLOOKUP(D1886, Config!$F$6:$G$17, 2, FALSE()))</f>
        <v/>
      </c>
      <c r="F1886" s="16"/>
    </row>
    <row r="1887" ht="15.0" customHeight="1">
      <c r="A1887" s="12"/>
      <c r="B1887" s="13"/>
      <c r="C1887" s="8"/>
      <c r="D1887" s="8"/>
      <c r="E1887" s="13" t="str">
        <f>IF(ISBLANK(D1887), "", VLOOKUP(D1887, Config!$F$6:$G$17, 2, FALSE()))</f>
        <v/>
      </c>
      <c r="F1887" s="16"/>
    </row>
    <row r="1888" ht="15.0" customHeight="1">
      <c r="A1888" s="12"/>
      <c r="B1888" s="13"/>
      <c r="C1888" s="8"/>
      <c r="D1888" s="8"/>
      <c r="E1888" s="13" t="str">
        <f>IF(ISBLANK(D1888), "", VLOOKUP(D1888, Config!$F$6:$G$17, 2, FALSE()))</f>
        <v/>
      </c>
      <c r="F1888" s="16"/>
    </row>
    <row r="1889" ht="15.0" customHeight="1">
      <c r="A1889" s="12"/>
      <c r="B1889" s="13"/>
      <c r="C1889" s="8"/>
      <c r="D1889" s="8"/>
      <c r="E1889" s="13" t="str">
        <f>IF(ISBLANK(D1889), "", VLOOKUP(D1889, Config!$F$6:$G$17, 2, FALSE()))</f>
        <v/>
      </c>
      <c r="F1889" s="16"/>
    </row>
    <row r="1890" ht="15.0" customHeight="1">
      <c r="A1890" s="12"/>
      <c r="B1890" s="13"/>
      <c r="C1890" s="8"/>
      <c r="D1890" s="8"/>
      <c r="E1890" s="13" t="str">
        <f>IF(ISBLANK(D1890), "", VLOOKUP(D1890, Config!$F$6:$G$17, 2, FALSE()))</f>
        <v/>
      </c>
      <c r="F1890" s="16"/>
    </row>
    <row r="1891" ht="15.0" customHeight="1">
      <c r="A1891" s="12"/>
      <c r="B1891" s="13"/>
      <c r="C1891" s="8"/>
      <c r="D1891" s="8"/>
      <c r="E1891" s="13" t="str">
        <f>IF(ISBLANK(D1891), "", VLOOKUP(D1891, Config!$F$6:$G$17, 2, FALSE()))</f>
        <v/>
      </c>
      <c r="F1891" s="16"/>
    </row>
    <row r="1892" ht="15.0" customHeight="1">
      <c r="A1892" s="12"/>
      <c r="B1892" s="13"/>
      <c r="C1892" s="8"/>
      <c r="D1892" s="8"/>
      <c r="E1892" s="13" t="str">
        <f>IF(ISBLANK(D1892), "", VLOOKUP(D1892, Config!$F$6:$G$17, 2, FALSE()))</f>
        <v/>
      </c>
      <c r="F1892" s="16"/>
    </row>
    <row r="1893" ht="15.0" customHeight="1">
      <c r="A1893" s="12"/>
      <c r="B1893" s="13"/>
      <c r="C1893" s="8"/>
      <c r="D1893" s="8"/>
      <c r="E1893" s="13" t="str">
        <f>IF(ISBLANK(D1893), "", VLOOKUP(D1893, Config!$F$6:$G$17, 2, FALSE()))</f>
        <v/>
      </c>
      <c r="F1893" s="16"/>
    </row>
    <row r="1894" ht="15.0" customHeight="1">
      <c r="A1894" s="12"/>
      <c r="B1894" s="13"/>
      <c r="C1894" s="8"/>
      <c r="D1894" s="8"/>
      <c r="E1894" s="13" t="str">
        <f>IF(ISBLANK(D1894), "", VLOOKUP(D1894, Config!$F$6:$G$17, 2, FALSE()))</f>
        <v/>
      </c>
      <c r="F1894" s="16"/>
    </row>
    <row r="1895" ht="15.0" customHeight="1">
      <c r="A1895" s="12"/>
      <c r="B1895" s="13"/>
      <c r="C1895" s="8"/>
      <c r="D1895" s="8"/>
      <c r="E1895" s="13" t="str">
        <f>IF(ISBLANK(D1895), "", VLOOKUP(D1895, Config!$F$6:$G$17, 2, FALSE()))</f>
        <v/>
      </c>
      <c r="F1895" s="16"/>
    </row>
    <row r="1896" ht="15.0" customHeight="1">
      <c r="A1896" s="12"/>
      <c r="B1896" s="13"/>
      <c r="C1896" s="8"/>
      <c r="D1896" s="8"/>
      <c r="E1896" s="13" t="str">
        <f>IF(ISBLANK(D1896), "", VLOOKUP(D1896, Config!$F$6:$G$17, 2, FALSE()))</f>
        <v/>
      </c>
      <c r="F1896" s="16"/>
    </row>
    <row r="1897" ht="15.0" customHeight="1">
      <c r="A1897" s="12"/>
      <c r="B1897" s="13"/>
      <c r="C1897" s="8"/>
      <c r="D1897" s="8"/>
      <c r="E1897" s="13" t="str">
        <f>IF(ISBLANK(D1897), "", VLOOKUP(D1897, Config!$F$6:$G$17, 2, FALSE()))</f>
        <v/>
      </c>
      <c r="F1897" s="16"/>
    </row>
    <row r="1898" ht="15.0" customHeight="1">
      <c r="A1898" s="12"/>
      <c r="B1898" s="13"/>
      <c r="C1898" s="8"/>
      <c r="D1898" s="8"/>
      <c r="E1898" s="13" t="str">
        <f>IF(ISBLANK(D1898), "", VLOOKUP(D1898, Config!$F$6:$G$17, 2, FALSE()))</f>
        <v/>
      </c>
      <c r="F1898" s="16"/>
    </row>
    <row r="1899" ht="15.0" customHeight="1">
      <c r="A1899" s="12"/>
      <c r="B1899" s="13"/>
      <c r="C1899" s="8"/>
      <c r="D1899" s="8"/>
      <c r="E1899" s="13" t="str">
        <f>IF(ISBLANK(D1899), "", VLOOKUP(D1899, Config!$F$6:$G$17, 2, FALSE()))</f>
        <v/>
      </c>
      <c r="F1899" s="16"/>
    </row>
    <row r="1900" ht="15.0" customHeight="1">
      <c r="A1900" s="12"/>
      <c r="B1900" s="13"/>
      <c r="C1900" s="8"/>
      <c r="D1900" s="8"/>
      <c r="E1900" s="13" t="str">
        <f>IF(ISBLANK(D1900), "", VLOOKUP(D1900, Config!$F$6:$G$17, 2, FALSE()))</f>
        <v/>
      </c>
      <c r="F1900" s="16"/>
    </row>
    <row r="1901" ht="15.0" customHeight="1">
      <c r="A1901" s="12"/>
      <c r="B1901" s="13"/>
      <c r="C1901" s="8"/>
      <c r="D1901" s="8"/>
      <c r="E1901" s="13" t="str">
        <f>IF(ISBLANK(D1901), "", VLOOKUP(D1901, Config!$F$6:$G$17, 2, FALSE()))</f>
        <v/>
      </c>
      <c r="F1901" s="16"/>
    </row>
    <row r="1902" ht="15.0" customHeight="1">
      <c r="A1902" s="12"/>
      <c r="B1902" s="13"/>
      <c r="C1902" s="8"/>
      <c r="D1902" s="8"/>
      <c r="E1902" s="13" t="str">
        <f>IF(ISBLANK(D1902), "", VLOOKUP(D1902, Config!$F$6:$G$17, 2, FALSE()))</f>
        <v/>
      </c>
      <c r="F1902" s="16"/>
    </row>
    <row r="1903" ht="15.0" customHeight="1">
      <c r="A1903" s="12"/>
      <c r="B1903" s="13"/>
      <c r="C1903" s="8"/>
      <c r="D1903" s="8"/>
      <c r="E1903" s="13" t="str">
        <f>IF(ISBLANK(D1903), "", VLOOKUP(D1903, Config!$F$6:$G$17, 2, FALSE()))</f>
        <v/>
      </c>
      <c r="F1903" s="16"/>
    </row>
    <row r="1904" ht="15.0" customHeight="1">
      <c r="A1904" s="12"/>
      <c r="B1904" s="13"/>
      <c r="C1904" s="8"/>
      <c r="D1904" s="8"/>
      <c r="E1904" s="13" t="str">
        <f>IF(ISBLANK(D1904), "", VLOOKUP(D1904, Config!$F$6:$G$17, 2, FALSE()))</f>
        <v/>
      </c>
      <c r="F1904" s="16"/>
    </row>
    <row r="1905" ht="15.0" customHeight="1">
      <c r="A1905" s="12"/>
      <c r="B1905" s="13"/>
      <c r="C1905" s="8"/>
      <c r="D1905" s="8"/>
      <c r="E1905" s="13" t="str">
        <f>IF(ISBLANK(D1905), "", VLOOKUP(D1905, Config!$F$6:$G$17, 2, FALSE()))</f>
        <v/>
      </c>
      <c r="F1905" s="16"/>
    </row>
    <row r="1906" ht="15.0" customHeight="1">
      <c r="A1906" s="12"/>
      <c r="B1906" s="13"/>
      <c r="C1906" s="8"/>
      <c r="D1906" s="8"/>
      <c r="E1906" s="13" t="str">
        <f>IF(ISBLANK(D1906), "", VLOOKUP(D1906, Config!$F$6:$G$17, 2, FALSE()))</f>
        <v/>
      </c>
      <c r="F1906" s="16"/>
    </row>
    <row r="1907" ht="15.0" customHeight="1">
      <c r="A1907" s="12"/>
      <c r="B1907" s="13"/>
      <c r="C1907" s="8"/>
      <c r="D1907" s="8"/>
      <c r="E1907" s="13" t="str">
        <f>IF(ISBLANK(D1907), "", VLOOKUP(D1907, Config!$F$6:$G$17, 2, FALSE()))</f>
        <v/>
      </c>
      <c r="F1907" s="16"/>
    </row>
    <row r="1908" ht="15.0" customHeight="1">
      <c r="A1908" s="12"/>
      <c r="B1908" s="13"/>
      <c r="C1908" s="8"/>
      <c r="D1908" s="8"/>
      <c r="E1908" s="13" t="str">
        <f>IF(ISBLANK(D1908), "", VLOOKUP(D1908, Config!$F$6:$G$17, 2, FALSE()))</f>
        <v/>
      </c>
      <c r="F1908" s="16"/>
    </row>
    <row r="1909" ht="15.0" customHeight="1">
      <c r="A1909" s="12"/>
      <c r="B1909" s="13"/>
      <c r="C1909" s="8"/>
      <c r="D1909" s="8"/>
      <c r="E1909" s="13" t="str">
        <f>IF(ISBLANK(D1909), "", VLOOKUP(D1909, Config!$F$6:$G$17, 2, FALSE()))</f>
        <v/>
      </c>
      <c r="F1909" s="16"/>
    </row>
    <row r="1910" ht="15.0" customHeight="1">
      <c r="A1910" s="12"/>
      <c r="B1910" s="13"/>
      <c r="C1910" s="8"/>
      <c r="D1910" s="8"/>
      <c r="E1910" s="13" t="str">
        <f>IF(ISBLANK(D1910), "", VLOOKUP(D1910, Config!$F$6:$G$17, 2, FALSE()))</f>
        <v/>
      </c>
      <c r="F1910" s="16"/>
    </row>
    <row r="1911" ht="15.0" customHeight="1">
      <c r="A1911" s="12"/>
      <c r="B1911" s="13"/>
      <c r="C1911" s="8"/>
      <c r="D1911" s="8"/>
      <c r="E1911" s="13" t="str">
        <f>IF(ISBLANK(D1911), "", VLOOKUP(D1911, Config!$F$6:$G$17, 2, FALSE()))</f>
        <v/>
      </c>
      <c r="F1911" s="16"/>
    </row>
    <row r="1912" ht="15.0" customHeight="1">
      <c r="A1912" s="12"/>
      <c r="B1912" s="13"/>
      <c r="C1912" s="8"/>
      <c r="D1912" s="8"/>
      <c r="E1912" s="13" t="str">
        <f>IF(ISBLANK(D1912), "", VLOOKUP(D1912, Config!$F$6:$G$17, 2, FALSE()))</f>
        <v/>
      </c>
      <c r="F1912" s="16"/>
    </row>
    <row r="1913" ht="15.0" customHeight="1">
      <c r="A1913" s="12"/>
      <c r="B1913" s="13"/>
      <c r="C1913" s="8"/>
      <c r="D1913" s="8"/>
      <c r="E1913" s="13" t="str">
        <f>IF(ISBLANK(D1913), "", VLOOKUP(D1913, Config!$F$6:$G$17, 2, FALSE()))</f>
        <v/>
      </c>
      <c r="F1913" s="16"/>
    </row>
    <row r="1914" ht="15.0" customHeight="1">
      <c r="A1914" s="12"/>
      <c r="B1914" s="13"/>
      <c r="C1914" s="8"/>
      <c r="D1914" s="8"/>
      <c r="E1914" s="13" t="str">
        <f>IF(ISBLANK(D1914), "", VLOOKUP(D1914, Config!$F$6:$G$17, 2, FALSE()))</f>
        <v/>
      </c>
      <c r="F1914" s="16"/>
    </row>
    <row r="1915" ht="15.0" customHeight="1">
      <c r="A1915" s="12"/>
      <c r="B1915" s="13"/>
      <c r="C1915" s="8"/>
      <c r="D1915" s="8"/>
      <c r="E1915" s="13" t="str">
        <f>IF(ISBLANK(D1915), "", VLOOKUP(D1915, Config!$F$6:$G$17, 2, FALSE()))</f>
        <v/>
      </c>
      <c r="F1915" s="16"/>
    </row>
    <row r="1916" ht="15.0" customHeight="1">
      <c r="A1916" s="12"/>
      <c r="B1916" s="13"/>
      <c r="C1916" s="8"/>
      <c r="D1916" s="8"/>
      <c r="E1916" s="13" t="str">
        <f>IF(ISBLANK(D1916), "", VLOOKUP(D1916, Config!$F$6:$G$17, 2, FALSE()))</f>
        <v/>
      </c>
      <c r="F1916" s="16"/>
    </row>
    <row r="1917" ht="15.0" customHeight="1">
      <c r="A1917" s="12"/>
      <c r="B1917" s="13"/>
      <c r="C1917" s="8"/>
      <c r="D1917" s="8"/>
      <c r="E1917" s="13" t="str">
        <f>IF(ISBLANK(D1917), "", VLOOKUP(D1917, Config!$F$6:$G$17, 2, FALSE()))</f>
        <v/>
      </c>
      <c r="F1917" s="16"/>
    </row>
    <row r="1918" ht="15.0" customHeight="1">
      <c r="A1918" s="12"/>
      <c r="B1918" s="13"/>
      <c r="C1918" s="8"/>
      <c r="D1918" s="8"/>
      <c r="E1918" s="13" t="str">
        <f>IF(ISBLANK(D1918), "", VLOOKUP(D1918, Config!$F$6:$G$17, 2, FALSE()))</f>
        <v/>
      </c>
      <c r="F1918" s="16"/>
    </row>
    <row r="1919" ht="15.0" customHeight="1">
      <c r="A1919" s="12"/>
      <c r="B1919" s="13"/>
      <c r="C1919" s="8"/>
      <c r="D1919" s="8"/>
      <c r="E1919" s="13" t="str">
        <f>IF(ISBLANK(D1919), "", VLOOKUP(D1919, Config!$F$6:$G$17, 2, FALSE()))</f>
        <v/>
      </c>
      <c r="F1919" s="16"/>
    </row>
    <row r="1920" ht="15.0" customHeight="1">
      <c r="A1920" s="12"/>
      <c r="B1920" s="13"/>
      <c r="C1920" s="8"/>
      <c r="D1920" s="8"/>
      <c r="E1920" s="13" t="str">
        <f>IF(ISBLANK(D1920), "", VLOOKUP(D1920, Config!$F$6:$G$17, 2, FALSE()))</f>
        <v/>
      </c>
      <c r="F1920" s="16"/>
    </row>
    <row r="1921" ht="15.0" customHeight="1">
      <c r="A1921" s="12"/>
      <c r="B1921" s="13"/>
      <c r="C1921" s="8"/>
      <c r="D1921" s="8"/>
      <c r="E1921" s="13" t="str">
        <f>IF(ISBLANK(D1921), "", VLOOKUP(D1921, Config!$F$6:$G$17, 2, FALSE()))</f>
        <v/>
      </c>
      <c r="F1921" s="16"/>
    </row>
    <row r="1922" ht="15.0" customHeight="1">
      <c r="A1922" s="12"/>
      <c r="B1922" s="13"/>
      <c r="C1922" s="8"/>
      <c r="D1922" s="8"/>
      <c r="E1922" s="13" t="str">
        <f>IF(ISBLANK(D1922), "", VLOOKUP(D1922, Config!$F$6:$G$17, 2, FALSE()))</f>
        <v/>
      </c>
      <c r="F1922" s="16"/>
    </row>
    <row r="1923" ht="15.0" customHeight="1">
      <c r="A1923" s="12"/>
      <c r="B1923" s="13"/>
      <c r="C1923" s="8"/>
      <c r="D1923" s="8"/>
      <c r="E1923" s="13" t="str">
        <f>IF(ISBLANK(D1923), "", VLOOKUP(D1923, Config!$F$6:$G$17, 2, FALSE()))</f>
        <v/>
      </c>
      <c r="F1923" s="16"/>
    </row>
    <row r="1924" ht="15.0" customHeight="1">
      <c r="A1924" s="12"/>
      <c r="B1924" s="13"/>
      <c r="C1924" s="8"/>
      <c r="D1924" s="8"/>
      <c r="E1924" s="13" t="str">
        <f>IF(ISBLANK(D1924), "", VLOOKUP(D1924, Config!$F$6:$G$17, 2, FALSE()))</f>
        <v/>
      </c>
      <c r="F1924" s="16"/>
    </row>
    <row r="1925" ht="15.0" customHeight="1">
      <c r="A1925" s="12"/>
      <c r="B1925" s="13"/>
      <c r="C1925" s="8"/>
      <c r="D1925" s="8"/>
      <c r="E1925" s="13" t="str">
        <f>IF(ISBLANK(D1925), "", VLOOKUP(D1925, Config!$F$6:$G$17, 2, FALSE()))</f>
        <v/>
      </c>
      <c r="F1925" s="16"/>
    </row>
    <row r="1926" ht="15.0" customHeight="1">
      <c r="A1926" s="12"/>
      <c r="B1926" s="13"/>
      <c r="C1926" s="8"/>
      <c r="D1926" s="8"/>
      <c r="E1926" s="13" t="str">
        <f>IF(ISBLANK(D1926), "", VLOOKUP(D1926, Config!$F$6:$G$17, 2, FALSE()))</f>
        <v/>
      </c>
      <c r="F1926" s="16"/>
    </row>
    <row r="1927" ht="15.0" customHeight="1">
      <c r="A1927" s="12"/>
      <c r="B1927" s="13"/>
      <c r="C1927" s="8"/>
      <c r="D1927" s="8"/>
      <c r="E1927" s="13" t="str">
        <f>IF(ISBLANK(D1927), "", VLOOKUP(D1927, Config!$F$6:$G$17, 2, FALSE()))</f>
        <v/>
      </c>
      <c r="F1927" s="16"/>
    </row>
    <row r="1928" ht="15.0" customHeight="1">
      <c r="A1928" s="12"/>
      <c r="B1928" s="13"/>
      <c r="C1928" s="8"/>
      <c r="D1928" s="8"/>
      <c r="E1928" s="13" t="str">
        <f>IF(ISBLANK(D1928), "", VLOOKUP(D1928, Config!$F$6:$G$17, 2, FALSE()))</f>
        <v/>
      </c>
      <c r="F1928" s="16"/>
    </row>
    <row r="1929" ht="15.0" customHeight="1">
      <c r="A1929" s="12"/>
      <c r="B1929" s="13"/>
      <c r="C1929" s="8"/>
      <c r="D1929" s="8"/>
      <c r="E1929" s="13" t="str">
        <f>IF(ISBLANK(D1929), "", VLOOKUP(D1929, Config!$F$6:$G$17, 2, FALSE()))</f>
        <v/>
      </c>
      <c r="F1929" s="16"/>
    </row>
    <row r="1930" ht="15.0" customHeight="1">
      <c r="A1930" s="12"/>
      <c r="B1930" s="13"/>
      <c r="C1930" s="8"/>
      <c r="D1930" s="8"/>
      <c r="E1930" s="13" t="str">
        <f>IF(ISBLANK(D1930), "", VLOOKUP(D1930, Config!$F$6:$G$17, 2, FALSE()))</f>
        <v/>
      </c>
      <c r="F1930" s="16"/>
    </row>
    <row r="1931" ht="15.0" customHeight="1">
      <c r="A1931" s="12"/>
      <c r="B1931" s="13"/>
      <c r="C1931" s="8"/>
      <c r="D1931" s="8"/>
      <c r="E1931" s="13" t="str">
        <f>IF(ISBLANK(D1931), "", VLOOKUP(D1931, Config!$F$6:$G$17, 2, FALSE()))</f>
        <v/>
      </c>
      <c r="F1931" s="16"/>
    </row>
    <row r="1932" ht="15.0" customHeight="1">
      <c r="A1932" s="12"/>
      <c r="B1932" s="13"/>
      <c r="C1932" s="8"/>
      <c r="D1932" s="8"/>
      <c r="E1932" s="13" t="str">
        <f>IF(ISBLANK(D1932), "", VLOOKUP(D1932, Config!$F$6:$G$17, 2, FALSE()))</f>
        <v/>
      </c>
      <c r="F1932" s="16"/>
    </row>
    <row r="1933" ht="15.0" customHeight="1">
      <c r="A1933" s="12"/>
      <c r="B1933" s="13"/>
      <c r="C1933" s="8"/>
      <c r="D1933" s="8"/>
      <c r="E1933" s="13" t="str">
        <f>IF(ISBLANK(D1933), "", VLOOKUP(D1933, Config!$F$6:$G$17, 2, FALSE()))</f>
        <v/>
      </c>
      <c r="F1933" s="16"/>
    </row>
    <row r="1934" ht="15.0" customHeight="1">
      <c r="A1934" s="12"/>
      <c r="B1934" s="13"/>
      <c r="C1934" s="8"/>
      <c r="D1934" s="8"/>
      <c r="E1934" s="13" t="str">
        <f>IF(ISBLANK(D1934), "", VLOOKUP(D1934, Config!$F$6:$G$17, 2, FALSE()))</f>
        <v/>
      </c>
      <c r="F1934" s="16"/>
    </row>
    <row r="1935" ht="15.0" customHeight="1">
      <c r="A1935" s="12"/>
      <c r="B1935" s="13"/>
      <c r="C1935" s="8"/>
      <c r="D1935" s="8"/>
      <c r="E1935" s="13" t="str">
        <f>IF(ISBLANK(D1935), "", VLOOKUP(D1935, Config!$F$6:$G$17, 2, FALSE()))</f>
        <v/>
      </c>
      <c r="F1935" s="16"/>
    </row>
    <row r="1936" ht="15.0" customHeight="1">
      <c r="A1936" s="12"/>
      <c r="B1936" s="13"/>
      <c r="C1936" s="8"/>
      <c r="D1936" s="8"/>
      <c r="E1936" s="13" t="str">
        <f>IF(ISBLANK(D1936), "", VLOOKUP(D1936, Config!$F$6:$G$17, 2, FALSE()))</f>
        <v/>
      </c>
      <c r="F1936" s="16"/>
    </row>
    <row r="1937" ht="15.0" customHeight="1">
      <c r="A1937" s="12"/>
      <c r="B1937" s="13"/>
      <c r="C1937" s="8"/>
      <c r="D1937" s="8"/>
      <c r="E1937" s="13" t="str">
        <f>IF(ISBLANK(D1937), "", VLOOKUP(D1937, Config!$F$6:$G$17, 2, FALSE()))</f>
        <v/>
      </c>
      <c r="F1937" s="16"/>
    </row>
    <row r="1938" ht="15.0" customHeight="1">
      <c r="A1938" s="12"/>
      <c r="B1938" s="13"/>
      <c r="C1938" s="8"/>
      <c r="D1938" s="8"/>
      <c r="E1938" s="13" t="str">
        <f>IF(ISBLANK(D1938), "", VLOOKUP(D1938, Config!$F$6:$G$17, 2, FALSE()))</f>
        <v/>
      </c>
      <c r="F1938" s="16"/>
    </row>
    <row r="1939" ht="15.0" customHeight="1">
      <c r="A1939" s="12"/>
      <c r="B1939" s="13"/>
      <c r="C1939" s="8"/>
      <c r="D1939" s="8"/>
      <c r="E1939" s="13" t="str">
        <f>IF(ISBLANK(D1939), "", VLOOKUP(D1939, Config!$F$6:$G$17, 2, FALSE()))</f>
        <v/>
      </c>
      <c r="F1939" s="16"/>
    </row>
    <row r="1940" ht="15.0" customHeight="1">
      <c r="A1940" s="12"/>
      <c r="B1940" s="13"/>
      <c r="C1940" s="8"/>
      <c r="D1940" s="8"/>
      <c r="E1940" s="13" t="str">
        <f>IF(ISBLANK(D1940), "", VLOOKUP(D1940, Config!$F$6:$G$17, 2, FALSE()))</f>
        <v/>
      </c>
      <c r="F1940" s="16"/>
    </row>
    <row r="1941" ht="15.0" customHeight="1">
      <c r="A1941" s="12"/>
      <c r="B1941" s="13"/>
      <c r="C1941" s="8"/>
      <c r="D1941" s="8"/>
      <c r="E1941" s="13" t="str">
        <f>IF(ISBLANK(D1941), "", VLOOKUP(D1941, Config!$F$6:$G$17, 2, FALSE()))</f>
        <v/>
      </c>
      <c r="F1941" s="16"/>
    </row>
    <row r="1942" ht="15.0" customHeight="1">
      <c r="A1942" s="12"/>
      <c r="B1942" s="13"/>
      <c r="C1942" s="8"/>
      <c r="D1942" s="8"/>
      <c r="E1942" s="13" t="str">
        <f>IF(ISBLANK(D1942), "", VLOOKUP(D1942, Config!$F$6:$G$17, 2, FALSE()))</f>
        <v/>
      </c>
      <c r="F1942" s="16"/>
    </row>
    <row r="1943" ht="15.0" customHeight="1">
      <c r="A1943" s="12"/>
      <c r="B1943" s="13"/>
      <c r="C1943" s="8"/>
      <c r="D1943" s="8"/>
      <c r="E1943" s="13" t="str">
        <f>IF(ISBLANK(D1943), "", VLOOKUP(D1943, Config!$F$6:$G$17, 2, FALSE()))</f>
        <v/>
      </c>
      <c r="F1943" s="16"/>
    </row>
    <row r="1944" ht="15.0" customHeight="1">
      <c r="A1944" s="12"/>
      <c r="B1944" s="13"/>
      <c r="C1944" s="8"/>
      <c r="D1944" s="8"/>
      <c r="E1944" s="13" t="str">
        <f>IF(ISBLANK(D1944), "", VLOOKUP(D1944, Config!$F$6:$G$17, 2, FALSE()))</f>
        <v/>
      </c>
      <c r="F1944" s="16"/>
    </row>
    <row r="1945" ht="15.0" customHeight="1">
      <c r="A1945" s="12"/>
      <c r="B1945" s="13"/>
      <c r="C1945" s="8"/>
      <c r="D1945" s="8"/>
      <c r="E1945" s="13" t="str">
        <f>IF(ISBLANK(D1945), "", VLOOKUP(D1945, Config!$F$6:$G$17, 2, FALSE()))</f>
        <v/>
      </c>
      <c r="F1945" s="16"/>
    </row>
    <row r="1946" ht="15.0" customHeight="1">
      <c r="A1946" s="12"/>
      <c r="B1946" s="13"/>
      <c r="C1946" s="8"/>
      <c r="D1946" s="8"/>
      <c r="E1946" s="13" t="str">
        <f>IF(ISBLANK(D1946), "", VLOOKUP(D1946, Config!$F$6:$G$17, 2, FALSE()))</f>
        <v/>
      </c>
      <c r="F1946" s="16"/>
    </row>
    <row r="1947" ht="15.0" customHeight="1">
      <c r="A1947" s="12"/>
      <c r="B1947" s="13"/>
      <c r="C1947" s="8"/>
      <c r="D1947" s="8"/>
      <c r="E1947" s="13" t="str">
        <f>IF(ISBLANK(D1947), "", VLOOKUP(D1947, Config!$F$6:$G$17, 2, FALSE()))</f>
        <v/>
      </c>
      <c r="F1947" s="16"/>
    </row>
    <row r="1948" ht="15.0" customHeight="1">
      <c r="A1948" s="12"/>
      <c r="B1948" s="13"/>
      <c r="C1948" s="8"/>
      <c r="D1948" s="8"/>
      <c r="E1948" s="13" t="str">
        <f>IF(ISBLANK(D1948), "", VLOOKUP(D1948, Config!$F$6:$G$17, 2, FALSE()))</f>
        <v/>
      </c>
      <c r="F1948" s="16"/>
    </row>
    <row r="1949" ht="15.0" customHeight="1">
      <c r="A1949" s="12"/>
      <c r="B1949" s="13"/>
      <c r="C1949" s="8"/>
      <c r="D1949" s="8"/>
      <c r="E1949" s="13" t="str">
        <f>IF(ISBLANK(D1949), "", VLOOKUP(D1949, Config!$F$6:$G$17, 2, FALSE()))</f>
        <v/>
      </c>
      <c r="F1949" s="16"/>
    </row>
    <row r="1950" ht="15.0" customHeight="1">
      <c r="A1950" s="12"/>
      <c r="B1950" s="13"/>
      <c r="C1950" s="8"/>
      <c r="D1950" s="8"/>
      <c r="E1950" s="13" t="str">
        <f>IF(ISBLANK(D1950), "", VLOOKUP(D1950, Config!$F$6:$G$17, 2, FALSE()))</f>
        <v/>
      </c>
      <c r="F1950" s="16"/>
    </row>
    <row r="1951" ht="15.0" customHeight="1">
      <c r="A1951" s="12"/>
      <c r="B1951" s="13"/>
      <c r="C1951" s="8"/>
      <c r="D1951" s="8"/>
      <c r="E1951" s="13" t="str">
        <f>IF(ISBLANK(D1951), "", VLOOKUP(D1951, Config!$F$6:$G$17, 2, FALSE()))</f>
        <v/>
      </c>
      <c r="F1951" s="16"/>
    </row>
    <row r="1952" ht="15.0" customHeight="1">
      <c r="A1952" s="12"/>
      <c r="B1952" s="13"/>
      <c r="C1952" s="8"/>
      <c r="D1952" s="8"/>
      <c r="E1952" s="13" t="str">
        <f>IF(ISBLANK(D1952), "", VLOOKUP(D1952, Config!$F$6:$G$17, 2, FALSE()))</f>
        <v/>
      </c>
      <c r="F1952" s="16"/>
    </row>
    <row r="1953" ht="15.0" customHeight="1">
      <c r="A1953" s="12"/>
      <c r="B1953" s="13"/>
      <c r="C1953" s="8"/>
      <c r="D1953" s="8"/>
      <c r="E1953" s="13" t="str">
        <f>IF(ISBLANK(D1953), "", VLOOKUP(D1953, Config!$F$6:$G$17, 2, FALSE()))</f>
        <v/>
      </c>
      <c r="F1953" s="16"/>
    </row>
    <row r="1954" ht="15.0" customHeight="1">
      <c r="A1954" s="12"/>
      <c r="B1954" s="13"/>
      <c r="C1954" s="8"/>
      <c r="D1954" s="8"/>
      <c r="E1954" s="13" t="str">
        <f>IF(ISBLANK(D1954), "", VLOOKUP(D1954, Config!$F$6:$G$17, 2, FALSE()))</f>
        <v/>
      </c>
      <c r="F1954" s="16"/>
    </row>
    <row r="1955" ht="15.0" customHeight="1">
      <c r="A1955" s="12"/>
      <c r="B1955" s="13"/>
      <c r="C1955" s="8"/>
      <c r="D1955" s="8"/>
      <c r="E1955" s="13" t="str">
        <f>IF(ISBLANK(D1955), "", VLOOKUP(D1955, Config!$F$6:$G$17, 2, FALSE()))</f>
        <v/>
      </c>
      <c r="F1955" s="16"/>
    </row>
    <row r="1956" ht="15.0" customHeight="1">
      <c r="A1956" s="12"/>
      <c r="B1956" s="13"/>
      <c r="C1956" s="8"/>
      <c r="D1956" s="8"/>
      <c r="E1956" s="13" t="str">
        <f>IF(ISBLANK(D1956), "", VLOOKUP(D1956, Config!$F$6:$G$17, 2, FALSE()))</f>
        <v/>
      </c>
      <c r="F1956" s="16"/>
    </row>
    <row r="1957" ht="15.0" customHeight="1">
      <c r="A1957" s="12"/>
      <c r="B1957" s="13"/>
      <c r="C1957" s="8"/>
      <c r="D1957" s="8"/>
      <c r="E1957" s="13" t="str">
        <f>IF(ISBLANK(D1957), "", VLOOKUP(D1957, Config!$F$6:$G$17, 2, FALSE()))</f>
        <v/>
      </c>
      <c r="F1957" s="16"/>
    </row>
    <row r="1958" ht="15.0" customHeight="1">
      <c r="A1958" s="12"/>
      <c r="B1958" s="13"/>
      <c r="C1958" s="8"/>
      <c r="D1958" s="8"/>
      <c r="E1958" s="13" t="str">
        <f>IF(ISBLANK(D1958), "", VLOOKUP(D1958, Config!$F$6:$G$17, 2, FALSE()))</f>
        <v/>
      </c>
      <c r="F1958" s="16"/>
    </row>
    <row r="1959" ht="15.0" customHeight="1">
      <c r="A1959" s="12"/>
      <c r="B1959" s="13"/>
      <c r="C1959" s="8"/>
      <c r="D1959" s="8"/>
      <c r="E1959" s="13" t="str">
        <f>IF(ISBLANK(D1959), "", VLOOKUP(D1959, Config!$F$6:$G$17, 2, FALSE()))</f>
        <v/>
      </c>
      <c r="F1959" s="16"/>
    </row>
    <row r="1960" ht="15.0" customHeight="1">
      <c r="A1960" s="12"/>
      <c r="B1960" s="13"/>
      <c r="C1960" s="8"/>
      <c r="D1960" s="8"/>
      <c r="E1960" s="13" t="str">
        <f>IF(ISBLANK(D1960), "", VLOOKUP(D1960, Config!$F$6:$G$17, 2, FALSE()))</f>
        <v/>
      </c>
      <c r="F1960" s="16"/>
    </row>
    <row r="1961" ht="15.0" customHeight="1">
      <c r="A1961" s="12"/>
      <c r="B1961" s="13"/>
      <c r="C1961" s="8"/>
      <c r="D1961" s="8"/>
      <c r="E1961" s="13" t="str">
        <f>IF(ISBLANK(D1961), "", VLOOKUP(D1961, Config!$F$6:$G$17, 2, FALSE()))</f>
        <v/>
      </c>
      <c r="F1961" s="16"/>
    </row>
    <row r="1962" ht="15.0" customHeight="1">
      <c r="A1962" s="12"/>
      <c r="B1962" s="13"/>
      <c r="C1962" s="8"/>
      <c r="D1962" s="8"/>
      <c r="E1962" s="13" t="str">
        <f>IF(ISBLANK(D1962), "", VLOOKUP(D1962, Config!$F$6:$G$17, 2, FALSE()))</f>
        <v/>
      </c>
      <c r="F1962" s="16"/>
    </row>
    <row r="1963" ht="15.0" customHeight="1">
      <c r="A1963" s="12"/>
      <c r="B1963" s="13"/>
      <c r="C1963" s="8"/>
      <c r="D1963" s="8"/>
      <c r="E1963" s="13" t="str">
        <f>IF(ISBLANK(D1963), "", VLOOKUP(D1963, Config!$F$6:$G$17, 2, FALSE()))</f>
        <v/>
      </c>
      <c r="F1963" s="16"/>
    </row>
    <row r="1964" ht="15.0" customHeight="1">
      <c r="A1964" s="12"/>
      <c r="B1964" s="13"/>
      <c r="C1964" s="8"/>
      <c r="D1964" s="8"/>
      <c r="E1964" s="13" t="str">
        <f>IF(ISBLANK(D1964), "", VLOOKUP(D1964, Config!$F$6:$G$17, 2, FALSE()))</f>
        <v/>
      </c>
      <c r="F1964" s="16"/>
    </row>
    <row r="1965" ht="15.0" customHeight="1">
      <c r="A1965" s="12"/>
      <c r="B1965" s="13"/>
      <c r="C1965" s="8"/>
      <c r="D1965" s="8"/>
      <c r="E1965" s="13" t="str">
        <f>IF(ISBLANK(D1965), "", VLOOKUP(D1965, Config!$F$6:$G$17, 2, FALSE()))</f>
        <v/>
      </c>
      <c r="F1965" s="16"/>
    </row>
    <row r="1966" ht="15.0" customHeight="1">
      <c r="A1966" s="12"/>
      <c r="B1966" s="13"/>
      <c r="C1966" s="8"/>
      <c r="D1966" s="8"/>
      <c r="E1966" s="13" t="str">
        <f>IF(ISBLANK(D1966), "", VLOOKUP(D1966, Config!$F$6:$G$17, 2, FALSE()))</f>
        <v/>
      </c>
      <c r="F1966" s="16"/>
    </row>
    <row r="1967" ht="15.0" customHeight="1">
      <c r="A1967" s="12"/>
      <c r="B1967" s="13"/>
      <c r="C1967" s="8"/>
      <c r="D1967" s="8"/>
      <c r="E1967" s="13" t="str">
        <f>IF(ISBLANK(D1967), "", VLOOKUP(D1967, Config!$F$6:$G$17, 2, FALSE()))</f>
        <v/>
      </c>
      <c r="F1967" s="16"/>
    </row>
    <row r="1968" ht="15.0" customHeight="1">
      <c r="A1968" s="12"/>
      <c r="B1968" s="13"/>
      <c r="C1968" s="8"/>
      <c r="D1968" s="8"/>
      <c r="E1968" s="13" t="str">
        <f>IF(ISBLANK(D1968), "", VLOOKUP(D1968, Config!$F$6:$G$17, 2, FALSE()))</f>
        <v/>
      </c>
      <c r="F1968" s="16"/>
    </row>
    <row r="1969" ht="15.0" customHeight="1">
      <c r="A1969" s="12"/>
      <c r="B1969" s="13"/>
      <c r="C1969" s="8"/>
      <c r="D1969" s="8"/>
      <c r="E1969" s="13" t="str">
        <f>IF(ISBLANK(D1969), "", VLOOKUP(D1969, Config!$F$6:$G$17, 2, FALSE()))</f>
        <v/>
      </c>
      <c r="F1969" s="16"/>
    </row>
    <row r="1970" ht="15.0" customHeight="1">
      <c r="A1970" s="12"/>
      <c r="B1970" s="13"/>
      <c r="C1970" s="8"/>
      <c r="D1970" s="8"/>
      <c r="E1970" s="13" t="str">
        <f>IF(ISBLANK(D1970), "", VLOOKUP(D1970, Config!$F$6:$G$17, 2, FALSE()))</f>
        <v/>
      </c>
      <c r="F1970" s="16"/>
    </row>
    <row r="1971" ht="15.0" customHeight="1">
      <c r="A1971" s="12"/>
      <c r="B1971" s="13"/>
      <c r="C1971" s="8"/>
      <c r="D1971" s="8"/>
      <c r="E1971" s="13" t="str">
        <f>IF(ISBLANK(D1971), "", VLOOKUP(D1971, Config!$F$6:$G$17, 2, FALSE()))</f>
        <v/>
      </c>
      <c r="F1971" s="16"/>
    </row>
    <row r="1972" ht="15.0" customHeight="1">
      <c r="A1972" s="12"/>
      <c r="B1972" s="13"/>
      <c r="C1972" s="8"/>
      <c r="D1972" s="8"/>
      <c r="E1972" s="13" t="str">
        <f>IF(ISBLANK(D1972), "", VLOOKUP(D1972, Config!$F$6:$G$17, 2, FALSE()))</f>
        <v/>
      </c>
      <c r="F1972" s="16"/>
    </row>
    <row r="1973" ht="15.0" customHeight="1">
      <c r="A1973" s="12"/>
      <c r="B1973" s="13"/>
      <c r="C1973" s="8"/>
      <c r="D1973" s="8"/>
      <c r="E1973" s="13" t="str">
        <f>IF(ISBLANK(D1973), "", VLOOKUP(D1973, Config!$F$6:$G$17, 2, FALSE()))</f>
        <v/>
      </c>
      <c r="F1973" s="16"/>
    </row>
    <row r="1974" ht="15.0" customHeight="1">
      <c r="A1974" s="12"/>
      <c r="B1974" s="13"/>
      <c r="C1974" s="8"/>
      <c r="D1974" s="8"/>
      <c r="E1974" s="13" t="str">
        <f>IF(ISBLANK(D1974), "", VLOOKUP(D1974, Config!$F$6:$G$17, 2, FALSE()))</f>
        <v/>
      </c>
      <c r="F1974" s="16"/>
    </row>
    <row r="1975" ht="15.0" customHeight="1">
      <c r="A1975" s="12"/>
      <c r="B1975" s="13"/>
      <c r="C1975" s="8"/>
      <c r="D1975" s="8"/>
      <c r="E1975" s="13" t="str">
        <f>IF(ISBLANK(D1975), "", VLOOKUP(D1975, Config!$F$6:$G$17, 2, FALSE()))</f>
        <v/>
      </c>
      <c r="F1975" s="16"/>
    </row>
    <row r="1976" ht="15.0" customHeight="1">
      <c r="A1976" s="12"/>
      <c r="B1976" s="13"/>
      <c r="C1976" s="8"/>
      <c r="D1976" s="8"/>
      <c r="E1976" s="13" t="str">
        <f>IF(ISBLANK(D1976), "", VLOOKUP(D1976, Config!$F$6:$G$17, 2, FALSE()))</f>
        <v/>
      </c>
      <c r="F1976" s="16"/>
    </row>
    <row r="1977" ht="15.0" customHeight="1">
      <c r="A1977" s="12"/>
      <c r="B1977" s="13"/>
      <c r="C1977" s="8"/>
      <c r="D1977" s="8"/>
      <c r="E1977" s="13" t="str">
        <f>IF(ISBLANK(D1977), "", VLOOKUP(D1977, Config!$F$6:$G$17, 2, FALSE()))</f>
        <v/>
      </c>
      <c r="F1977" s="16"/>
    </row>
    <row r="1978" ht="15.0" customHeight="1">
      <c r="A1978" s="12"/>
      <c r="B1978" s="13"/>
      <c r="C1978" s="8"/>
      <c r="D1978" s="8"/>
      <c r="E1978" s="13" t="str">
        <f>IF(ISBLANK(D1978), "", VLOOKUP(D1978, Config!$F$6:$G$17, 2, FALSE()))</f>
        <v/>
      </c>
      <c r="F1978" s="16"/>
    </row>
    <row r="1979" ht="15.0" customHeight="1">
      <c r="A1979" s="12"/>
      <c r="B1979" s="13"/>
      <c r="C1979" s="8"/>
      <c r="D1979" s="8"/>
      <c r="E1979" s="13" t="str">
        <f>IF(ISBLANK(D1979), "", VLOOKUP(D1979, Config!$F$6:$G$17, 2, FALSE()))</f>
        <v/>
      </c>
      <c r="F1979" s="16"/>
    </row>
    <row r="1980" ht="15.0" customHeight="1">
      <c r="A1980" s="12"/>
      <c r="B1980" s="13"/>
      <c r="C1980" s="8"/>
      <c r="D1980" s="8"/>
      <c r="E1980" s="13" t="str">
        <f>IF(ISBLANK(D1980), "", VLOOKUP(D1980, Config!$F$6:$G$17, 2, FALSE()))</f>
        <v/>
      </c>
      <c r="F1980" s="16"/>
    </row>
    <row r="1981" ht="15.0" customHeight="1">
      <c r="A1981" s="12"/>
      <c r="B1981" s="13"/>
      <c r="C1981" s="8"/>
      <c r="D1981" s="8"/>
      <c r="E1981" s="13" t="str">
        <f>IF(ISBLANK(D1981), "", VLOOKUP(D1981, Config!$F$6:$G$17, 2, FALSE()))</f>
        <v/>
      </c>
      <c r="F1981" s="16"/>
    </row>
    <row r="1982" ht="15.0" customHeight="1">
      <c r="A1982" s="12"/>
      <c r="B1982" s="13"/>
      <c r="C1982" s="8"/>
      <c r="D1982" s="8"/>
      <c r="E1982" s="13" t="str">
        <f>IF(ISBLANK(D1982), "", VLOOKUP(D1982, Config!$F$6:$G$17, 2, FALSE()))</f>
        <v/>
      </c>
      <c r="F1982" s="16"/>
    </row>
    <row r="1983" ht="15.0" customHeight="1">
      <c r="A1983" s="12"/>
      <c r="B1983" s="13"/>
      <c r="C1983" s="8"/>
      <c r="D1983" s="8"/>
      <c r="E1983" s="13" t="str">
        <f>IF(ISBLANK(D1983), "", VLOOKUP(D1983, Config!$F$6:$G$17, 2, FALSE()))</f>
        <v/>
      </c>
      <c r="F1983" s="16"/>
    </row>
    <row r="1984" ht="15.0" customHeight="1">
      <c r="A1984" s="12"/>
      <c r="B1984" s="13"/>
      <c r="C1984" s="8"/>
      <c r="D1984" s="8"/>
      <c r="E1984" s="13" t="str">
        <f>IF(ISBLANK(D1984), "", VLOOKUP(D1984, Config!$F$6:$G$17, 2, FALSE()))</f>
        <v/>
      </c>
      <c r="F1984" s="16"/>
    </row>
    <row r="1985" ht="15.0" customHeight="1">
      <c r="A1985" s="12"/>
      <c r="B1985" s="13"/>
      <c r="C1985" s="8"/>
      <c r="D1985" s="8"/>
      <c r="E1985" s="13" t="str">
        <f>IF(ISBLANK(D1985), "", VLOOKUP(D1985, Config!$F$6:$G$17, 2, FALSE()))</f>
        <v/>
      </c>
      <c r="F1985" s="16"/>
    </row>
    <row r="1986" ht="15.0" customHeight="1">
      <c r="A1986" s="12"/>
      <c r="B1986" s="13"/>
      <c r="C1986" s="8"/>
      <c r="D1986" s="8"/>
      <c r="E1986" s="13" t="str">
        <f>IF(ISBLANK(D1986), "", VLOOKUP(D1986, Config!$F$6:$G$17, 2, FALSE()))</f>
        <v/>
      </c>
      <c r="F1986" s="16"/>
    </row>
    <row r="1987" ht="15.0" customHeight="1">
      <c r="A1987" s="12"/>
      <c r="B1987" s="13"/>
      <c r="C1987" s="8"/>
      <c r="D1987" s="8"/>
      <c r="E1987" s="13" t="str">
        <f>IF(ISBLANK(D1987), "", VLOOKUP(D1987, Config!$F$6:$G$17, 2, FALSE()))</f>
        <v/>
      </c>
      <c r="F1987" s="16"/>
    </row>
    <row r="1988" ht="15.0" customHeight="1">
      <c r="A1988" s="12"/>
      <c r="B1988" s="13"/>
      <c r="C1988" s="8"/>
      <c r="D1988" s="8"/>
      <c r="E1988" s="13" t="str">
        <f>IF(ISBLANK(D1988), "", VLOOKUP(D1988, Config!$F$6:$G$17, 2, FALSE()))</f>
        <v/>
      </c>
      <c r="F1988" s="16"/>
    </row>
    <row r="1989" ht="15.0" customHeight="1">
      <c r="A1989" s="12"/>
      <c r="B1989" s="13"/>
      <c r="C1989" s="8"/>
      <c r="D1989" s="8"/>
      <c r="E1989" s="13" t="str">
        <f>IF(ISBLANK(D1989), "", VLOOKUP(D1989, Config!$F$6:$G$17, 2, FALSE()))</f>
        <v/>
      </c>
      <c r="F1989" s="16"/>
    </row>
    <row r="1990" ht="15.0" customHeight="1">
      <c r="A1990" s="12"/>
      <c r="B1990" s="13"/>
      <c r="C1990" s="8"/>
      <c r="D1990" s="8"/>
      <c r="E1990" s="13" t="str">
        <f>IF(ISBLANK(D1990), "", VLOOKUP(D1990, Config!$F$6:$G$17, 2, FALSE()))</f>
        <v/>
      </c>
      <c r="F1990" s="16"/>
    </row>
    <row r="1991" ht="15.0" customHeight="1">
      <c r="A1991" s="12"/>
      <c r="B1991" s="13"/>
      <c r="C1991" s="8"/>
      <c r="D1991" s="8"/>
      <c r="E1991" s="13" t="str">
        <f>IF(ISBLANK(D1991), "", VLOOKUP(D1991, Config!$F$6:$G$17, 2, FALSE()))</f>
        <v/>
      </c>
      <c r="F1991" s="16"/>
    </row>
    <row r="1992" ht="15.0" customHeight="1">
      <c r="A1992" s="12"/>
      <c r="B1992" s="13"/>
      <c r="C1992" s="8"/>
      <c r="D1992" s="8"/>
      <c r="E1992" s="13" t="str">
        <f>IF(ISBLANK(D1992), "", VLOOKUP(D1992, Config!$F$6:$G$17, 2, FALSE()))</f>
        <v/>
      </c>
      <c r="F1992" s="16"/>
    </row>
    <row r="1993" ht="15.0" customHeight="1">
      <c r="A1993" s="12"/>
      <c r="B1993" s="13"/>
      <c r="C1993" s="8"/>
      <c r="D1993" s="8"/>
      <c r="E1993" s="13" t="str">
        <f>IF(ISBLANK(D1993), "", VLOOKUP(D1993, Config!$F$6:$G$17, 2, FALSE()))</f>
        <v/>
      </c>
      <c r="F1993" s="16"/>
    </row>
    <row r="1994" ht="15.0" customHeight="1">
      <c r="A1994" s="12"/>
      <c r="B1994" s="13"/>
      <c r="C1994" s="8"/>
      <c r="D1994" s="8"/>
      <c r="E1994" s="13" t="str">
        <f>IF(ISBLANK(D1994), "", VLOOKUP(D1994, Config!$F$6:$G$17, 2, FALSE()))</f>
        <v/>
      </c>
      <c r="F1994" s="16"/>
    </row>
    <row r="1995" ht="15.0" customHeight="1">
      <c r="A1995" s="12"/>
      <c r="B1995" s="13"/>
      <c r="C1995" s="8"/>
      <c r="D1995" s="8"/>
      <c r="E1995" s="13" t="str">
        <f>IF(ISBLANK(D1995), "", VLOOKUP(D1995, Config!$F$6:$G$17, 2, FALSE()))</f>
        <v/>
      </c>
      <c r="F1995" s="16"/>
    </row>
    <row r="1996" ht="15.0" customHeight="1">
      <c r="A1996" s="12"/>
      <c r="B1996" s="13"/>
      <c r="C1996" s="8"/>
      <c r="D1996" s="8"/>
      <c r="E1996" s="13" t="str">
        <f>IF(ISBLANK(D1996), "", VLOOKUP(D1996, Config!$F$6:$G$17, 2, FALSE()))</f>
        <v/>
      </c>
      <c r="F1996" s="16"/>
    </row>
    <row r="1997" ht="15.0" customHeight="1">
      <c r="A1997" s="12"/>
      <c r="B1997" s="13"/>
      <c r="C1997" s="8"/>
      <c r="D1997" s="8"/>
      <c r="E1997" s="13" t="str">
        <f>IF(ISBLANK(D1997), "", VLOOKUP(D1997, Config!$F$6:$G$17, 2, FALSE()))</f>
        <v/>
      </c>
      <c r="F1997" s="16"/>
    </row>
    <row r="1998" ht="15.0" customHeight="1">
      <c r="A1998" s="12"/>
      <c r="B1998" s="13"/>
      <c r="C1998" s="8"/>
      <c r="D1998" s="8"/>
      <c r="E1998" s="13" t="str">
        <f>IF(ISBLANK(D1998), "", VLOOKUP(D1998, Config!$F$6:$G$17, 2, FALSE()))</f>
        <v/>
      </c>
      <c r="F1998" s="16"/>
    </row>
    <row r="1999" ht="15.0" customHeight="1">
      <c r="A1999" s="12"/>
      <c r="B1999" s="13"/>
      <c r="C1999" s="8"/>
      <c r="D1999" s="8"/>
      <c r="E1999" s="13" t="str">
        <f>IF(ISBLANK(D1999), "", VLOOKUP(D1999, Config!$F$6:$G$17, 2, FALSE()))</f>
        <v/>
      </c>
      <c r="F1999" s="16"/>
    </row>
    <row r="2000" ht="15.0" customHeight="1">
      <c r="A2000" s="12"/>
      <c r="B2000" s="13"/>
      <c r="C2000" s="8"/>
      <c r="D2000" s="8"/>
      <c r="E2000" s="13" t="str">
        <f>IF(ISBLANK(D2000), "", VLOOKUP(D2000, Config!$F$6:$G$17, 2, FALSE()))</f>
        <v/>
      </c>
      <c r="F2000" s="16"/>
    </row>
    <row r="2001" ht="15.0" customHeight="1">
      <c r="A2001" s="12"/>
      <c r="B2001" s="13"/>
      <c r="C2001" s="8"/>
      <c r="D2001" s="8"/>
      <c r="E2001" s="13" t="str">
        <f>IF(ISBLANK(D2001), "", VLOOKUP(D2001, Config!$F$6:$G$17, 2, FALSE()))</f>
        <v/>
      </c>
      <c r="F2001" s="16"/>
    </row>
    <row r="2002" ht="15.0" customHeight="1">
      <c r="A2002" s="12"/>
      <c r="B2002" s="13"/>
      <c r="C2002" s="8"/>
      <c r="D2002" s="8"/>
      <c r="E2002" s="13" t="str">
        <f>IF(ISBLANK(D2002), "", VLOOKUP(D2002, Config!$F$6:$G$17, 2, FALSE()))</f>
        <v/>
      </c>
      <c r="F2002" s="16"/>
    </row>
    <row r="2003" ht="15.0" customHeight="1">
      <c r="A2003" s="12"/>
      <c r="B2003" s="13"/>
      <c r="C2003" s="8"/>
      <c r="D2003" s="8"/>
      <c r="E2003" s="13"/>
      <c r="F2003" s="16"/>
    </row>
    <row r="2004" ht="15.0" customHeight="1">
      <c r="A2004" s="63"/>
      <c r="B2004" s="64"/>
      <c r="C2004" s="65"/>
      <c r="D2004" s="65"/>
      <c r="E2004" s="64"/>
      <c r="F2004" s="66"/>
    </row>
    <row r="2005" ht="15.0" customHeight="1">
      <c r="A2005" s="67"/>
      <c r="B2005" s="68"/>
      <c r="C2005" s="24"/>
      <c r="D2005" s="24"/>
      <c r="E2005" s="68"/>
      <c r="F2005" s="69"/>
    </row>
    <row r="2006" ht="15.0" customHeight="1">
      <c r="A2006" s="67"/>
      <c r="B2006" s="68"/>
      <c r="C2006" s="24"/>
      <c r="D2006" s="24"/>
      <c r="E2006" s="68"/>
      <c r="F2006" s="69"/>
    </row>
  </sheetData>
  <autoFilter ref="$A$4:$G$127"/>
  <conditionalFormatting sqref="A5:D599 E5:E1186 F5:G599">
    <cfRule type="expression" dxfId="5" priority="1">
      <formula>$B5="Enero"</formula>
    </cfRule>
  </conditionalFormatting>
  <conditionalFormatting sqref="A5:D599 E5:E1186 F5:G599">
    <cfRule type="expression" dxfId="6" priority="2">
      <formula>$B5="Febrero"</formula>
    </cfRule>
  </conditionalFormatting>
  <conditionalFormatting sqref="A5:D599 E5:E1186 F5:G599">
    <cfRule type="expression" dxfId="7" priority="3">
      <formula>$B5="Marzo"</formula>
    </cfRule>
  </conditionalFormatting>
  <conditionalFormatting sqref="A5:D599 E5:E1186 F5:G599">
    <cfRule type="expression" dxfId="8" priority="4">
      <formula>$B5="Abril"</formula>
    </cfRule>
  </conditionalFormatting>
  <conditionalFormatting sqref="A5:D599 E5:E1186 F5:G599">
    <cfRule type="expression" dxfId="9" priority="5">
      <formula>$B5="Mayo"</formula>
    </cfRule>
  </conditionalFormatting>
  <conditionalFormatting sqref="A5:D599 E5:E1186 F5:G599">
    <cfRule type="expression" dxfId="10" priority="6">
      <formula>$B5="Junio"</formula>
    </cfRule>
  </conditionalFormatting>
  <conditionalFormatting sqref="A5:D599 E5:E1186 F5:G599">
    <cfRule type="expression" dxfId="11" priority="7">
      <formula>$B5="Julio"</formula>
    </cfRule>
  </conditionalFormatting>
  <conditionalFormatting sqref="A5:D599 E5:E1186 F5:G599">
    <cfRule type="expression" dxfId="12" priority="8">
      <formula>$B5="Agosto"</formula>
    </cfRule>
  </conditionalFormatting>
  <conditionalFormatting sqref="A5:D599 E5:E1186 F5:G599">
    <cfRule type="expression" dxfId="13" priority="9">
      <formula>$B5="Septiembre"</formula>
    </cfRule>
  </conditionalFormatting>
  <conditionalFormatting sqref="A5:D599 E5:E1186 F5:G599">
    <cfRule type="expression" dxfId="14" priority="10">
      <formula>$B5="Octubre"</formula>
    </cfRule>
  </conditionalFormatting>
  <conditionalFormatting sqref="A5:D599 E5:E1186 F5:G599">
    <cfRule type="expression" dxfId="15" priority="11">
      <formula>$B5="Noviembre"</formula>
    </cfRule>
  </conditionalFormatting>
  <conditionalFormatting sqref="A5:D599 E5:E1186 F5:G599">
    <cfRule type="expression" dxfId="16" priority="12">
      <formula>$B5="Diciembre"</formula>
    </cfRule>
  </conditionalFormatting>
  <dataValidations>
    <dataValidation type="list" allowBlank="1" sqref="G5:G599">
      <formula1>"Efectivo/MP,Tarjeta de Crédito"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20.0"/>
    <col customWidth="1" min="4" max="4" width="25.71"/>
    <col customWidth="1" min="5" max="5" width="20.0"/>
    <col customWidth="1" min="6" max="6" width="19.57"/>
    <col customWidth="1" min="7" max="8" width="20.0"/>
    <col customWidth="1" min="9" max="9" width="4.0"/>
    <col customWidth="1" min="10" max="10" width="16.0"/>
    <col customWidth="1" min="11" max="14" width="18.0"/>
  </cols>
  <sheetData>
    <row r="1" ht="23.25" customHeight="1">
      <c r="A1" s="1" t="s">
        <v>164</v>
      </c>
      <c r="F1" s="33"/>
      <c r="G1" s="33"/>
    </row>
    <row r="2" ht="16.5" customHeight="1">
      <c r="A2" s="3" t="s">
        <v>166</v>
      </c>
      <c r="F2" s="33"/>
      <c r="G2" s="33"/>
    </row>
    <row r="4" ht="17.25" customHeight="1">
      <c r="A4" s="34" t="s">
        <v>167</v>
      </c>
      <c r="B4" s="35" t="s">
        <v>82</v>
      </c>
      <c r="F4" s="33"/>
      <c r="G4" s="33"/>
      <c r="J4" s="4" t="s">
        <v>170</v>
      </c>
    </row>
    <row r="5" ht="16.5" customHeight="1">
      <c r="F5" s="33"/>
      <c r="G5" s="33"/>
      <c r="J5" s="7" t="s">
        <v>21</v>
      </c>
      <c r="K5" s="36" t="s">
        <v>172</v>
      </c>
      <c r="L5" s="36" t="s">
        <v>173</v>
      </c>
      <c r="M5" s="36" t="s">
        <v>174</v>
      </c>
      <c r="N5" s="7" t="s">
        <v>176</v>
      </c>
    </row>
    <row r="6" ht="16.5" customHeight="1">
      <c r="A6" s="37" t="s">
        <v>177</v>
      </c>
      <c r="B6" s="38"/>
      <c r="D6" s="39" t="s">
        <v>179</v>
      </c>
      <c r="E6" s="38"/>
      <c r="G6" s="40" t="s">
        <v>180</v>
      </c>
      <c r="H6" s="38"/>
      <c r="J6" s="41" t="s">
        <v>37</v>
      </c>
      <c r="K6" s="16">
        <f>SUMIF(Ingresos!$B$5:$B$1004, J6, Ingresos!$E$5:$E$1004)</f>
        <v>0</v>
      </c>
      <c r="L6" s="16">
        <f>SUMIF(Gastos!$B$5:$B$2004, J6, Gastos!$F$5:$F$2004)</f>
        <v>0</v>
      </c>
      <c r="M6" s="16">
        <f t="shared" ref="M6:M17" si="1">K6-L6</f>
        <v>0</v>
      </c>
      <c r="N6" s="42">
        <f t="shared" ref="N6:N18" si="2">IF(K6=0, 0, M6/K6)</f>
        <v>0</v>
      </c>
    </row>
    <row r="7" ht="23.25" customHeight="1">
      <c r="A7" s="43">
        <f>SUMIFS(Ingresos!$E:$E, Ingresos!$B:$B, $B$4)</f>
        <v>2771000</v>
      </c>
      <c r="B7" s="38"/>
      <c r="D7" s="44">
        <f>SUMIFS(Gastos!$F:$F, Gastos!$B:$B, $B$4)</f>
        <v>4537220</v>
      </c>
      <c r="E7" s="38"/>
      <c r="F7" s="45"/>
      <c r="G7" s="46">
        <f>A7-D7</f>
        <v>-1766220</v>
      </c>
      <c r="H7" s="47"/>
      <c r="J7" s="41" t="s">
        <v>49</v>
      </c>
      <c r="K7" s="16">
        <f>SUMIF(Ingresos!$B$5:$B$1004, J7, Ingresos!$E$5:$E$1004)</f>
        <v>0</v>
      </c>
      <c r="L7" s="16">
        <f>SUMIF(Gastos!$B$5:$B$2004, J7, Gastos!$F$5:$F$2004)</f>
        <v>0</v>
      </c>
      <c r="M7" s="16">
        <f t="shared" si="1"/>
        <v>0</v>
      </c>
      <c r="N7" s="42">
        <f t="shared" si="2"/>
        <v>0</v>
      </c>
    </row>
    <row r="8" ht="16.5" customHeight="1">
      <c r="F8" s="33"/>
      <c r="G8" s="33"/>
      <c r="J8" s="41" t="s">
        <v>65</v>
      </c>
      <c r="K8" s="16">
        <f>SUMIF(Ingresos!$B$5:$B$1004, J8, Ingresos!$E$5:$E$1004)</f>
        <v>0</v>
      </c>
      <c r="L8" s="16">
        <f>SUMIF(Gastos!$B$5:$B$2004, J8, Gastos!$F$5:$F$2004)</f>
        <v>0</v>
      </c>
      <c r="M8" s="16">
        <f t="shared" si="1"/>
        <v>0</v>
      </c>
      <c r="N8" s="42">
        <f t="shared" si="2"/>
        <v>0</v>
      </c>
    </row>
    <row r="9" ht="16.5" customHeight="1">
      <c r="J9" s="41" t="s">
        <v>36</v>
      </c>
      <c r="K9" s="16">
        <f>SUMIF(Ingresos!$B$5:$B$1004, J9, Ingresos!$E$5:$E$1004)</f>
        <v>1905000</v>
      </c>
      <c r="L9" s="16">
        <f>SUMIF(Gastos!$B$5:$B$2004, J9, Gastos!$F$5:$F$2004)</f>
        <v>1245495.54</v>
      </c>
      <c r="M9" s="16">
        <f t="shared" si="1"/>
        <v>659504.46</v>
      </c>
      <c r="N9" s="42">
        <f t="shared" si="2"/>
        <v>0.3461965669</v>
      </c>
    </row>
    <row r="10" ht="17.25" customHeight="1">
      <c r="A10" s="4" t="s">
        <v>198</v>
      </c>
      <c r="J10" s="41" t="s">
        <v>63</v>
      </c>
      <c r="K10" s="16">
        <f>SUMIF(Ingresos!$B$5:$B$1004, J10, Ingresos!$E$5:$E$1004)</f>
        <v>2280000</v>
      </c>
      <c r="L10" s="16">
        <f>SUMIF(Gastos!$B$5:$B$2004, J10, Gastos!$F$5:$F$2004)</f>
        <v>1831913.74</v>
      </c>
      <c r="M10" s="16">
        <f t="shared" si="1"/>
        <v>448086.26</v>
      </c>
      <c r="N10" s="42">
        <f t="shared" si="2"/>
        <v>0.1965290614</v>
      </c>
    </row>
    <row r="11" ht="16.5" customHeight="1">
      <c r="A11" s="9" t="s">
        <v>201</v>
      </c>
      <c r="B11" s="7" t="s">
        <v>202</v>
      </c>
      <c r="C11" s="36" t="s">
        <v>203</v>
      </c>
      <c r="D11" s="36" t="s">
        <v>205</v>
      </c>
      <c r="E11" s="36" t="s">
        <v>206</v>
      </c>
      <c r="F11" s="7" t="s">
        <v>207</v>
      </c>
      <c r="J11" s="41" t="s">
        <v>77</v>
      </c>
      <c r="K11" s="16">
        <f>SUMIF(Ingresos!$B$5:$B$1004, J11, Ingresos!$E$5:$E$1004)</f>
        <v>2305000</v>
      </c>
      <c r="L11" s="16">
        <f>SUMIF(Gastos!$B$5:$B$2004, J11, Gastos!$F$5:$F$2004)</f>
        <v>1886480.24</v>
      </c>
      <c r="M11" s="16">
        <f t="shared" si="1"/>
        <v>418519.76</v>
      </c>
      <c r="N11" s="42">
        <f t="shared" si="2"/>
        <v>0.1815703948</v>
      </c>
    </row>
    <row r="12" ht="16.5" customHeight="1">
      <c r="A12" s="8" t="s">
        <v>23</v>
      </c>
      <c r="B12" s="10">
        <f>Config!B6</f>
        <v>0.5</v>
      </c>
      <c r="C12" s="16">
        <f t="shared" ref="C12:C14" si="3">B12*$A$7</f>
        <v>1385500</v>
      </c>
      <c r="D12" s="16">
        <f>SUMIFS(Gastos!$F$5:$F$2004, Gastos!$B$5:$B$2004, $B$4, Gastos!$E$5:$E$2004, "Fijo")</f>
        <v>1400000</v>
      </c>
      <c r="E12" s="16">
        <f t="shared" ref="E12:E13" si="4">C12-D12</f>
        <v>-14500</v>
      </c>
      <c r="F12" s="41" t="str">
        <f t="shared" ref="F12:F13" si="5">IF(E12&gt;=0, "🟢 Dentro de Límite", "🔴 Excedido")</f>
        <v>🔴 Excedido</v>
      </c>
      <c r="J12" s="41" t="s">
        <v>80</v>
      </c>
      <c r="K12" s="16">
        <f>SUMIF(Ingresos!$B$5:$B$1004, J12, Ingresos!$E$5:$E$1004)</f>
        <v>4189930</v>
      </c>
      <c r="L12" s="16">
        <f>SUMIF(Gastos!$B$5:$B$2004, J12, Gastos!$F$5:$F$2004)</f>
        <v>8122844</v>
      </c>
      <c r="M12" s="16">
        <f t="shared" si="1"/>
        <v>-3932914</v>
      </c>
      <c r="N12" s="42">
        <f t="shared" si="2"/>
        <v>-0.9386586411</v>
      </c>
    </row>
    <row r="13" ht="16.5" customHeight="1">
      <c r="A13" s="8" t="s">
        <v>39</v>
      </c>
      <c r="B13" s="10">
        <f>Config!B7</f>
        <v>0.3</v>
      </c>
      <c r="C13" s="16">
        <f t="shared" si="3"/>
        <v>831300</v>
      </c>
      <c r="D13" s="16">
        <f>SUMIFS(Gastos!$F$5:$F$2004, Gastos!$B$5:$B$2004, $B$4, Gastos!$E$5:$E$2004, "Variable")</f>
        <v>144500</v>
      </c>
      <c r="E13" s="16">
        <f t="shared" si="4"/>
        <v>686800</v>
      </c>
      <c r="F13" s="41" t="str">
        <f t="shared" si="5"/>
        <v>🟢 Dentro de Límite</v>
      </c>
      <c r="J13" s="41" t="s">
        <v>82</v>
      </c>
      <c r="K13" s="16">
        <f>SUMIF(Ingresos!$B$5:$B$1004, J13, Ingresos!$E$5:$E$1004)</f>
        <v>2771000</v>
      </c>
      <c r="L13" s="16">
        <f>SUMIF(Gastos!$B$5:$B$2004, J13, Gastos!$F$5:$F$2004)</f>
        <v>4537220</v>
      </c>
      <c r="M13" s="16">
        <f t="shared" si="1"/>
        <v>-1766220</v>
      </c>
      <c r="N13" s="42">
        <f t="shared" si="2"/>
        <v>-0.6373944424</v>
      </c>
    </row>
    <row r="14" ht="16.5" customHeight="1">
      <c r="A14" s="8" t="s">
        <v>52</v>
      </c>
      <c r="B14" s="10">
        <f>Config!B8</f>
        <v>0.2</v>
      </c>
      <c r="C14" s="16">
        <f t="shared" si="3"/>
        <v>554200</v>
      </c>
      <c r="D14" s="16">
        <f>G7</f>
        <v>-1766220</v>
      </c>
      <c r="E14" s="16">
        <f>D14-C14</f>
        <v>-2320420</v>
      </c>
      <c r="F14" s="41" t="str">
        <f>IF(E14&gt;=0, "🟢 Meta Alcanzada", "🔴 Bajo la Meta")</f>
        <v>🔴 Bajo la Meta</v>
      </c>
      <c r="J14" s="41" t="s">
        <v>84</v>
      </c>
      <c r="K14" s="16">
        <f>SUMIF(Ingresos!$B$5:$B$1004, J14, Ingresos!$E$5:$E$1004)</f>
        <v>0</v>
      </c>
      <c r="L14" s="16">
        <f>SUMIF(Gastos!$B$5:$B$2004, J14, Gastos!$F$5:$F$2004)</f>
        <v>0</v>
      </c>
      <c r="M14" s="16">
        <f t="shared" si="1"/>
        <v>0</v>
      </c>
      <c r="N14" s="42">
        <f t="shared" si="2"/>
        <v>0</v>
      </c>
    </row>
    <row r="15" ht="16.5" customHeight="1">
      <c r="J15" s="41" t="s">
        <v>87</v>
      </c>
      <c r="K15" s="16">
        <f>SUMIF(Ingresos!$B$5:$B$1004, J15, Ingresos!$E$5:$E$1004)</f>
        <v>0</v>
      </c>
      <c r="L15" s="16">
        <f>SUMIF(Gastos!$B$5:$B$2004, J15, Gastos!$F$5:$F$2004)</f>
        <v>0</v>
      </c>
      <c r="M15" s="16">
        <f t="shared" si="1"/>
        <v>0</v>
      </c>
      <c r="N15" s="42">
        <f t="shared" si="2"/>
        <v>0</v>
      </c>
    </row>
    <row r="16" ht="16.5" customHeight="1">
      <c r="J16" s="41" t="s">
        <v>89</v>
      </c>
      <c r="K16" s="16">
        <f>SUMIF(Ingresos!$B$5:$B$1004, J16, Ingresos!$E$5:$E$1004)</f>
        <v>0</v>
      </c>
      <c r="L16" s="16">
        <f>SUMIF(Gastos!$B$5:$B$2004, J16, Gastos!$F$5:$F$2004)</f>
        <v>0</v>
      </c>
      <c r="M16" s="16">
        <f t="shared" si="1"/>
        <v>0</v>
      </c>
      <c r="N16" s="42">
        <f t="shared" si="2"/>
        <v>0</v>
      </c>
    </row>
    <row r="17" ht="17.25" customHeight="1">
      <c r="A17" s="4" t="s">
        <v>221</v>
      </c>
      <c r="J17" s="41" t="s">
        <v>92</v>
      </c>
      <c r="K17" s="16">
        <f>SUMIF(Ingresos!$B$5:$B$1004, J17, Ingresos!$E$5:$E$1004)</f>
        <v>0</v>
      </c>
      <c r="L17" s="16">
        <f>SUMIF(Gastos!$B$5:$B$2004, J17, Gastos!$F$5:$F$2004)</f>
        <v>0</v>
      </c>
      <c r="M17" s="16">
        <f t="shared" si="1"/>
        <v>0</v>
      </c>
      <c r="N17" s="42">
        <f t="shared" si="2"/>
        <v>0</v>
      </c>
    </row>
    <row r="18" ht="16.5" customHeight="1">
      <c r="A18" s="9" t="s">
        <v>17</v>
      </c>
      <c r="B18" s="36" t="s">
        <v>223</v>
      </c>
      <c r="C18" s="7" t="s">
        <v>225</v>
      </c>
      <c r="J18" s="48" t="s">
        <v>226</v>
      </c>
      <c r="K18" s="49">
        <f t="shared" ref="K18:M18" si="6">SUM(K6:K17)</f>
        <v>13450930</v>
      </c>
      <c r="L18" s="49">
        <f t="shared" si="6"/>
        <v>17623953.52</v>
      </c>
      <c r="M18" s="49">
        <f t="shared" si="6"/>
        <v>-4173023.52</v>
      </c>
      <c r="N18" s="50">
        <f t="shared" si="2"/>
        <v>-0.3102405202</v>
      </c>
    </row>
    <row r="19" ht="15.0" customHeight="1">
      <c r="A19" s="8" t="str">
        <f>Config!F6</f>
        <v>Expensas</v>
      </c>
      <c r="B19" s="16">
        <f>SUMIFS('Respuestas de formulario 1'!$G:$G, 'Respuestas de formulario 1'!$C:$C, $B$4, 'Respuestas de formulario 1'!$D:$D, "Gasto", 'Respuestas de formulario 1'!$E:$E, A19)</f>
        <v>0</v>
      </c>
      <c r="C19" s="51">
        <f t="shared" ref="C19:C42" si="7">IFERROR(B19/$B$40, 0)</f>
        <v>0</v>
      </c>
    </row>
    <row r="20" ht="15.0" customHeight="1">
      <c r="A20" s="8" t="str">
        <f>Config!F7</f>
        <v>Prepaga</v>
      </c>
      <c r="B20" s="16">
        <f>SUMIFS(Gastos!$F$5:$F$2004, Gastos!$B$5:$B$2004, $B$4, Gastos!$D$5:$D$2004, A20)</f>
        <v>0</v>
      </c>
      <c r="C20" s="51">
        <f t="shared" si="7"/>
        <v>0</v>
      </c>
    </row>
    <row r="21" ht="15.0" customHeight="1">
      <c r="A21" s="8" t="str">
        <f>Config!F8</f>
        <v>Monotributo</v>
      </c>
      <c r="B21" s="16">
        <f>SUMIFS(Gastos!$F$5:$F$2004, Gastos!$B$5:$B$2004, $B$4, Gastos!$D$5:$D$2004, A21)</f>
        <v>0</v>
      </c>
      <c r="C21" s="51">
        <f t="shared" si="7"/>
        <v>0</v>
      </c>
    </row>
    <row r="22" ht="15.0" customHeight="1">
      <c r="A22" s="8" t="str">
        <f>Config!F9</f>
        <v>Seguro Auto</v>
      </c>
      <c r="B22" s="16">
        <f>SUMIFS(Gastos!$F$5:$F$2004, Gastos!$B$5:$B$2004, $B$4, Gastos!$D$5:$D$2004, A22)</f>
        <v>0</v>
      </c>
      <c r="C22" s="51">
        <f t="shared" si="7"/>
        <v>0</v>
      </c>
    </row>
    <row r="23" ht="15.0" customHeight="1">
      <c r="A23" s="8" t="str">
        <f>Config!F10</f>
        <v>Seguros Adicionales</v>
      </c>
      <c r="B23" s="16">
        <f>SUMIFS(Gastos!$F$5:$F$2004, Gastos!$B$5:$B$2004, $B$4, Gastos!$D$5:$D$2004, A23)</f>
        <v>0</v>
      </c>
      <c r="C23" s="51">
        <f t="shared" si="7"/>
        <v>0</v>
      </c>
    </row>
    <row r="24" ht="15.0" customHeight="1">
      <c r="A24" s="8" t="str">
        <f>Config!F11</f>
        <v>Luz</v>
      </c>
      <c r="B24" s="16">
        <f>SUMIFS(Gastos!$F$5:$F$2004, Gastos!$B$5:$B$2004, $B$4, Gastos!$D$5:$D$2004, A24)</f>
        <v>0</v>
      </c>
      <c r="C24" s="51">
        <f t="shared" si="7"/>
        <v>0</v>
      </c>
    </row>
    <row r="25" ht="15.0" customHeight="1">
      <c r="A25" s="8" t="str">
        <f>Config!F12</f>
        <v>Agua</v>
      </c>
      <c r="B25" s="16">
        <f>SUMIFS(Gastos!$F$5:$F$2004, Gastos!$B$5:$B$2004, $B$4, Gastos!$D$5:$D$2004, A25)</f>
        <v>0</v>
      </c>
      <c r="C25" s="51">
        <f t="shared" si="7"/>
        <v>0</v>
      </c>
    </row>
    <row r="26" ht="15.0" customHeight="1">
      <c r="A26" s="8" t="str">
        <f>Config!F13</f>
        <v>Gas</v>
      </c>
      <c r="B26" s="16">
        <f>SUMIFS(Gastos!$F$5:$F$2004, Gastos!$B$5:$B$2004, $B$4, Gastos!$D$5:$D$2004, A26)</f>
        <v>0</v>
      </c>
      <c r="C26" s="51">
        <f t="shared" si="7"/>
        <v>0</v>
      </c>
    </row>
    <row r="27" ht="15.0" customHeight="1">
      <c r="A27" s="8" t="str">
        <f>Config!F14</f>
        <v>Internet</v>
      </c>
      <c r="B27" s="16">
        <f>SUMIFS(Gastos!$F$5:$F$2004, Gastos!$B$5:$B$2004, $B$4, Gastos!$D$5:$D$2004, A27)</f>
        <v>0</v>
      </c>
      <c r="C27" s="51">
        <f t="shared" si="7"/>
        <v>0</v>
      </c>
    </row>
    <row r="28" ht="15.0" customHeight="1">
      <c r="A28" s="8" t="str">
        <f>Config!F15</f>
        <v>Telefonía</v>
      </c>
      <c r="B28" s="16">
        <f>SUMIFS(Gastos!$F$5:$F$2004, Gastos!$B$5:$B$2004, $B$4, Gastos!$D$5:$D$2004, A28)</f>
        <v>0</v>
      </c>
      <c r="C28" s="51">
        <f t="shared" si="7"/>
        <v>0</v>
      </c>
    </row>
    <row r="29" ht="15.0" customHeight="1">
      <c r="A29" s="8" t="str">
        <f>Config!F16</f>
        <v>Transporte / Auto</v>
      </c>
      <c r="B29" s="16">
        <f>SUMIFS(Gastos!$F$5:$F$2004, Gastos!$B$5:$B$2004, $B$4, Gastos!$D$5:$D$2004, A29)</f>
        <v>1400000</v>
      </c>
      <c r="C29" s="51">
        <f t="shared" si="7"/>
        <v>0</v>
      </c>
    </row>
    <row r="30" ht="15.0" customHeight="1">
      <c r="A30" s="8" t="str">
        <f>Config!F17</f>
        <v>Supermercado</v>
      </c>
      <c r="B30" s="16">
        <f>SUMIFS(Gastos!$F$5:$F$2004, Gastos!$B$5:$B$2004, $B$4, Gastos!$D$5:$D$2004, A30)</f>
        <v>0</v>
      </c>
      <c r="C30" s="51">
        <f t="shared" si="7"/>
        <v>0</v>
      </c>
    </row>
    <row r="31" ht="16.5" customHeight="1">
      <c r="A31" s="52" t="str">
        <f>Config!F18</f>
        <v>Mascota (Chancho)</v>
      </c>
      <c r="B31" s="53">
        <f>SUMIFS(Gastos!$F$5:$F$2004, Gastos!$B$5:$B$2004, $B$4, Gastos!$D$5:$D$2004, A31)</f>
        <v>0</v>
      </c>
      <c r="C31" s="51">
        <f t="shared" si="7"/>
        <v>0</v>
      </c>
    </row>
    <row r="32" ht="15.0" customHeight="1">
      <c r="A32" s="24" t="str">
        <f>Config!F19</f>
        <v>Gimnasio / CrossFit</v>
      </c>
      <c r="B32" s="54">
        <f>SUMIFS(Gastos!$F$5:$F$2004, Gastos!$B$5:$B$2004, $B$4, Gastos!$D$5:$D$2004, A32)</f>
        <v>0</v>
      </c>
      <c r="C32" s="51">
        <f t="shared" si="7"/>
        <v>0</v>
      </c>
    </row>
    <row r="33" ht="15.0" customHeight="1">
      <c r="A33" s="24" t="str">
        <f>Config!F20</f>
        <v>Salud / Farmacia</v>
      </c>
      <c r="B33" s="54">
        <f>SUMIFS(Gastos!$F$5:$F$2004, Gastos!$B$5:$B$2004, $B$4, Gastos!$D$5:$D$2004, A33)</f>
        <v>0</v>
      </c>
      <c r="C33" s="51">
        <f t="shared" si="7"/>
        <v>0</v>
      </c>
    </row>
    <row r="34" ht="15.0" customHeight="1">
      <c r="A34" s="24" t="str">
        <f>Config!F21</f>
        <v>Profesional (Colegiatura)</v>
      </c>
      <c r="B34" s="54">
        <f>SUMIFS(Gastos!$F$5:$F$2004, Gastos!$B$5:$B$2004, $B$4, Gastos!$D$5:$D$2004, A34)</f>
        <v>0</v>
      </c>
      <c r="C34" s="51">
        <f t="shared" si="7"/>
        <v>0</v>
      </c>
    </row>
    <row r="35" ht="15.0" customHeight="1">
      <c r="A35" s="24" t="str">
        <f>Config!F22</f>
        <v>Impuestos y Costos TC</v>
      </c>
      <c r="B35" s="54">
        <f>SUMIFS(Gastos!$F$5:$F$2004, Gastos!$B$5:$B$2004, $B$4, Gastos!$D$5:$D$2004, A35)</f>
        <v>0</v>
      </c>
      <c r="C35" s="51">
        <f t="shared" si="7"/>
        <v>0</v>
      </c>
    </row>
    <row r="36" ht="15.0" customHeight="1">
      <c r="A36" s="24" t="str">
        <f>Config!F23</f>
        <v>Delivery</v>
      </c>
      <c r="B36" s="54">
        <f>SUMIFS(Gastos!$F$5:$F$2004, Gastos!$B$5:$B$2004, $B$4, Gastos!$D$5:$D$2004, A36)</f>
        <v>0</v>
      </c>
      <c r="C36" s="51">
        <f t="shared" si="7"/>
        <v>0</v>
      </c>
    </row>
    <row r="37" ht="15.0" customHeight="1">
      <c r="A37" s="24" t="str">
        <f>Config!F24</f>
        <v>Salidas / Gastronomía</v>
      </c>
      <c r="B37" s="54">
        <f>SUMIFS(Gastos!$F$5:$F$2004, Gastos!$B$5:$B$2004, $B$4, Gastos!$D$5:$D$2004, A37)</f>
        <v>60600</v>
      </c>
      <c r="C37" s="51">
        <f t="shared" si="7"/>
        <v>0</v>
      </c>
    </row>
    <row r="38" ht="15.0" customHeight="1">
      <c r="A38" s="24" t="str">
        <f>Config!F25</f>
        <v>Compras Online / Impulsivas</v>
      </c>
      <c r="B38" s="54">
        <f>SUMIFS(Gastos!$F$5:$F$2004, Gastos!$B$5:$B$2004, $B$4, Gastos!$D$5:$D$2004, A38)</f>
        <v>0</v>
      </c>
      <c r="C38" s="51">
        <f t="shared" si="7"/>
        <v>0</v>
      </c>
    </row>
    <row r="39" ht="15.0" customHeight="1">
      <c r="A39" s="24" t="str">
        <f>Config!F26</f>
        <v>Suscripciones</v>
      </c>
      <c r="B39" s="54">
        <f>SUMIFS(Gastos!$F$5:$F$2004, Gastos!$B$5:$B$2004, $B$4, Gastos!$D$5:$D$2004, A39)</f>
        <v>0</v>
      </c>
      <c r="C39" s="51">
        <f t="shared" si="7"/>
        <v>0</v>
      </c>
    </row>
    <row r="40" ht="15.0" customHeight="1">
      <c r="A40" s="24" t="str">
        <f>Config!F27</f>
        <v>Educación / Cursos</v>
      </c>
      <c r="B40" s="54">
        <f>SUMIFS(Gastos!$F$5:$F$2004, Gastos!$B$5:$B$2004, $B$4, Gastos!$D$5:$D$2004, A40)</f>
        <v>0</v>
      </c>
      <c r="C40" s="51">
        <f t="shared" si="7"/>
        <v>0</v>
      </c>
    </row>
    <row r="41" ht="15.0" customHeight="1">
      <c r="A41" s="24" t="str">
        <f>Config!F28</f>
        <v>Indumentaria</v>
      </c>
      <c r="B41" s="54">
        <f>SUMIFS(Gastos!$F$5:$F$2004, Gastos!$B$5:$B$2004, $B$4, Gastos!$D$5:$D$2004, A41)</f>
        <v>0</v>
      </c>
      <c r="C41" s="51">
        <f t="shared" si="7"/>
        <v>0</v>
      </c>
    </row>
    <row r="42" ht="15.0" customHeight="1">
      <c r="A42" s="24" t="str">
        <f>Config!F29</f>
        <v>Otros Gastos</v>
      </c>
      <c r="B42" s="54">
        <f>SUMIFS(Gastos!$F$5:$F$2004, Gastos!$B$5:$B$2004, $B$4, Gastos!$D$5:$D$2004, A42)</f>
        <v>83900</v>
      </c>
      <c r="C42" s="51">
        <f t="shared" si="7"/>
        <v>0</v>
      </c>
    </row>
    <row r="43" ht="15.0" customHeight="1">
      <c r="A43" s="24" t="s">
        <v>238</v>
      </c>
      <c r="B43" s="54">
        <f>SUM(B19:B42)</f>
        <v>1544500</v>
      </c>
      <c r="C43" s="55">
        <f>SUM(B19:B38)</f>
        <v>1460600</v>
      </c>
    </row>
    <row r="44" ht="15.75" customHeight="1"/>
    <row r="45" ht="17.25" customHeight="1">
      <c r="A45" s="56" t="s">
        <v>240</v>
      </c>
    </row>
    <row r="46" ht="30.0" customHeight="1">
      <c r="A46" s="57" t="s">
        <v>241</v>
      </c>
    </row>
    <row r="47" ht="27.75" customHeight="1">
      <c r="A47" s="57" t="s">
        <v>242</v>
      </c>
    </row>
    <row r="48" ht="15.75" customHeight="1"/>
    <row r="49" ht="15.0" customHeight="1">
      <c r="A49" s="58" t="s">
        <v>21</v>
      </c>
      <c r="B49" s="58" t="s">
        <v>243</v>
      </c>
      <c r="C49" s="58" t="s">
        <v>244</v>
      </c>
      <c r="D49" s="58" t="s">
        <v>245</v>
      </c>
      <c r="E49" s="58" t="s">
        <v>246</v>
      </c>
    </row>
    <row r="50" ht="15.0" customHeight="1">
      <c r="A50" s="59" t="str">
        <f>Config!I6</f>
        <v>Enero</v>
      </c>
      <c r="B50" s="60">
        <f>SUMIF(Ingresos!$B$5:$B$1004, A50, Ingresos!$E$5:$E$1004)</f>
        <v>0</v>
      </c>
      <c r="C50" s="61">
        <v>0.0</v>
      </c>
      <c r="D50" s="61">
        <f>SUMIFS(Gastos!$F$5:$F$599, Gastos!$B$5:$B$599, A50, Gastos!$G$5:$G$599, "&lt;&gt;*Tarj*", Gastos!$D$5:$D$599, "&lt;&gt;Tarjeta")</f>
        <v>0</v>
      </c>
      <c r="E50" s="60">
        <f t="shared" ref="E50:E61" si="8">B50-C50-D50</f>
        <v>0</v>
      </c>
    </row>
    <row r="51" ht="15.0" customHeight="1">
      <c r="A51" s="59" t="str">
        <f>Config!I7</f>
        <v>Febrero</v>
      </c>
      <c r="B51" s="60">
        <f>SUMIF(Ingresos!$B$5:$B$1004, A51, Ingresos!$E$5:$E$1004)</f>
        <v>0</v>
      </c>
      <c r="C51" s="61">
        <v>0.0</v>
      </c>
      <c r="D51" s="61">
        <f>SUMIFS(Gastos!$F$5:$F$599, Gastos!$B$5:$B$599, A51, Gastos!$G$5:$G$599, "&lt;&gt;*Tarj*", Gastos!$D$5:$D$599, "&lt;&gt;Tarjeta")</f>
        <v>0</v>
      </c>
      <c r="E51" s="60">
        <f t="shared" si="8"/>
        <v>0</v>
      </c>
    </row>
    <row r="52" ht="15.0" customHeight="1">
      <c r="A52" s="59" t="str">
        <f>Config!I8</f>
        <v>Marzo</v>
      </c>
      <c r="B52" s="60">
        <f>SUMIF(Ingresos!$B$5:$B$1004, A52, Ingresos!$E$5:$E$1004)</f>
        <v>0</v>
      </c>
      <c r="C52" s="61">
        <v>0.0</v>
      </c>
      <c r="D52" s="61">
        <f>SUMIFS(Gastos!$F$5:$F$599, Gastos!$B$5:$B$599, A52, Gastos!$G$5:$G$599, "&lt;&gt;*Tarj*", Gastos!$D$5:$D$599, "&lt;&gt;Tarjeta")</f>
        <v>0</v>
      </c>
      <c r="E52" s="60">
        <f t="shared" si="8"/>
        <v>0</v>
      </c>
    </row>
    <row r="53" ht="15.0" customHeight="1">
      <c r="A53" s="59" t="str">
        <f>Config!I9</f>
        <v>Abril</v>
      </c>
      <c r="B53" s="60">
        <f>SUMIF(Ingresos!$B$5:$B$1004, A53, Ingresos!$E$5:$E$1004)</f>
        <v>1905000</v>
      </c>
      <c r="C53" s="61">
        <v>0.0</v>
      </c>
      <c r="D53" s="61">
        <f>SUMIFS(Gastos!$F$5:$F$599, Gastos!$B$5:$B$599, A53, Gastos!$G$5:$G$599, "&lt;&gt;*Tarj*", Gastos!$D$5:$D$599, "&lt;&gt;Tarjeta")</f>
        <v>0</v>
      </c>
      <c r="E53" s="60">
        <f t="shared" si="8"/>
        <v>1905000</v>
      </c>
    </row>
    <row r="54" ht="15.0" customHeight="1">
      <c r="A54" s="59" t="str">
        <f>Config!I10</f>
        <v>Mayo</v>
      </c>
      <c r="B54" s="60">
        <f>SUMIF(Ingresos!$B$5:$B$1004, A54, Ingresos!$E$5:$E$1004)</f>
        <v>2280000</v>
      </c>
      <c r="C54" s="61">
        <v>0.0</v>
      </c>
      <c r="D54" s="61">
        <f>SUMIFS(Gastos!$F$5:$F$599, Gastos!$B$5:$B$599, A54, Gastos!$G$5:$G$599, "&lt;&gt;*Tarj*", Gastos!$D$5:$D$599, "&lt;&gt;Tarjeta")</f>
        <v>1000000</v>
      </c>
      <c r="E54" s="60">
        <f t="shared" si="8"/>
        <v>1280000</v>
      </c>
    </row>
    <row r="55" ht="15.0" customHeight="1">
      <c r="A55" s="59" t="str">
        <f>Config!I11</f>
        <v>Junio</v>
      </c>
      <c r="B55" s="60">
        <f>SUMIF(Ingresos!$B$5:$B$1004, A55, Ingresos!$E$5:$E$1004)</f>
        <v>2305000</v>
      </c>
      <c r="C55" s="61">
        <v>0.0</v>
      </c>
      <c r="D55" s="61">
        <f>SUMIFS(Gastos!$F$5:$F$599, Gastos!$B$5:$B$599, A55, Gastos!$G$5:$G$599, "&lt;&gt;*Tarj*", Gastos!$D$5:$D$599, "&lt;&gt;Tarjeta")</f>
        <v>0</v>
      </c>
      <c r="E55" s="60">
        <f t="shared" si="8"/>
        <v>2305000</v>
      </c>
    </row>
    <row r="56" ht="15.0" customHeight="1">
      <c r="A56" s="59" t="str">
        <f>Config!I12</f>
        <v>Julio</v>
      </c>
      <c r="B56" s="60">
        <f>SUMIF(Ingresos!$B$5:$B$1004, A56, Ingresos!$E$5:$E$1004)</f>
        <v>4189930</v>
      </c>
      <c r="C56" s="61">
        <f>SUMIFS(Gastos!$F$5:$F$599, Gastos!$B$5:$B$599, A56, Gastos!$D$5:$D$599, "Tarjeta")</f>
        <v>2434619</v>
      </c>
      <c r="D56" s="61">
        <f>SUMIFS(Gastos!$F$5:$F$599, Gastos!$B$5:$B$599, A56, Gastos!$G$5:$G$599, "&lt;&gt;*Tarj*", Gastos!$D$5:$D$599, "&lt;&gt;Tarjeta")</f>
        <v>491018</v>
      </c>
      <c r="E56" s="60">
        <f t="shared" si="8"/>
        <v>1264293</v>
      </c>
    </row>
    <row r="57" ht="15.0" customHeight="1">
      <c r="A57" s="59" t="str">
        <f>Config!I13</f>
        <v>Agosto</v>
      </c>
      <c r="B57" s="60">
        <f>SUMIF(Ingresos!$B$5:$B$1004, A57, Ingresos!$E$5:$E$1004)</f>
        <v>2771000</v>
      </c>
      <c r="C57" s="61">
        <v>0.0</v>
      </c>
      <c r="D57" s="61">
        <f>SUMIFS(Gastos!$F$5:$F$599, Gastos!$B$5:$B$599, A57, Gastos!$G$5:$G$599, "&lt;&gt;*Tarj*", Gastos!$D$5:$D$599, "&lt;&gt;Tarjeta")</f>
        <v>60000</v>
      </c>
      <c r="E57" s="60">
        <f t="shared" si="8"/>
        <v>2711000</v>
      </c>
    </row>
    <row r="58" ht="15.0" customHeight="1">
      <c r="A58" s="59" t="str">
        <f>Config!I14</f>
        <v>Septiembre</v>
      </c>
      <c r="B58" s="60">
        <f>SUMIF(Ingresos!$B$5:$B$1004, A58, Ingresos!$E$5:$E$1004)</f>
        <v>0</v>
      </c>
      <c r="C58" s="61">
        <v>0.0</v>
      </c>
      <c r="D58" s="61">
        <f>SUMIFS(Gastos!$F$5:$F$599, Gastos!$B$5:$B$599, A58, Gastos!$G$5:$G$599, "&lt;&gt;*Tarj*", Gastos!$D$5:$D$599, "&lt;&gt;Tarjeta")</f>
        <v>0</v>
      </c>
      <c r="E58" s="60">
        <f t="shared" si="8"/>
        <v>0</v>
      </c>
    </row>
    <row r="59" ht="15.0" customHeight="1">
      <c r="A59" s="59" t="str">
        <f>Config!I15</f>
        <v>Octubre</v>
      </c>
      <c r="B59" s="60">
        <f>SUMIF(Ingresos!$B$5:$B$1004, A59, Ingresos!$E$5:$E$1004)</f>
        <v>0</v>
      </c>
      <c r="C59" s="61">
        <v>0.0</v>
      </c>
      <c r="D59" s="61">
        <f>SUMIFS(Gastos!$F$5:$F$599, Gastos!$B$5:$B$599, A59, Gastos!$G$5:$G$599, "&lt;&gt;*Tarj*", Gastos!$D$5:$D$599, "&lt;&gt;Tarjeta")</f>
        <v>0</v>
      </c>
      <c r="E59" s="60">
        <f t="shared" si="8"/>
        <v>0</v>
      </c>
    </row>
    <row r="60" ht="15.0" customHeight="1">
      <c r="A60" s="59" t="str">
        <f>Config!I16</f>
        <v>Noviembre</v>
      </c>
      <c r="B60" s="60">
        <f>SUMIF(Ingresos!$B$5:$B$1004, A60, Ingresos!$E$5:$E$1004)</f>
        <v>0</v>
      </c>
      <c r="C60" s="61">
        <v>0.0</v>
      </c>
      <c r="D60" s="61">
        <f>SUMIFS(Gastos!$F$5:$F$599, Gastos!$B$5:$B$599, A60, Gastos!$G$5:$G$599, "&lt;&gt;*Tarj*", Gastos!$D$5:$D$599, "&lt;&gt;Tarjeta")</f>
        <v>0</v>
      </c>
      <c r="E60" s="60">
        <f t="shared" si="8"/>
        <v>0</v>
      </c>
    </row>
    <row r="61" ht="15.0" customHeight="1">
      <c r="A61" s="59" t="str">
        <f>Config!I17</f>
        <v>Diciembre</v>
      </c>
      <c r="B61" s="60">
        <f>SUMIF(Ingresos!$B$5:$B$1004, A61, Ingresos!$E$5:$E$1004)</f>
        <v>0</v>
      </c>
      <c r="C61" s="61">
        <v>0.0</v>
      </c>
      <c r="D61" s="61">
        <f>SUMIFS(Gastos!$F$5:$F$599, Gastos!$B$5:$B$599, A61, Gastos!$G$5:$G$599, "&lt;&gt;*Tarj*", Gastos!$D$5:$D$599, "&lt;&gt;Tarjeta")</f>
        <v>0</v>
      </c>
      <c r="E61" s="60">
        <f t="shared" si="8"/>
        <v>0</v>
      </c>
    </row>
    <row r="62" ht="15.0" customHeight="1">
      <c r="A62" s="58" t="s">
        <v>226</v>
      </c>
      <c r="B62" s="62">
        <f t="shared" ref="B62:E62" si="9">SUM(B50:B61)</f>
        <v>13450930</v>
      </c>
      <c r="C62" s="62">
        <f t="shared" si="9"/>
        <v>2434619</v>
      </c>
      <c r="D62" s="62">
        <f t="shared" si="9"/>
        <v>1551018</v>
      </c>
      <c r="E62" s="62">
        <f t="shared" si="9"/>
        <v>9465293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6:B6"/>
    <mergeCell ref="D6:E6"/>
    <mergeCell ref="G6:H6"/>
    <mergeCell ref="A7:B7"/>
    <mergeCell ref="D7:E7"/>
    <mergeCell ref="G7:H7"/>
    <mergeCell ref="A46:F46"/>
    <mergeCell ref="A47:F47"/>
  </mergeCells>
  <dataValidations>
    <dataValidation type="list" allowBlank="1" sqref="B4">
      <formula1>Config!$I$6:$I$17</formula1>
    </dataValidation>
  </dataValidations>
  <printOptions/>
  <pageMargins bottom="1.0" footer="0.0" header="0.0" left="0.75" right="0.75" top="1.0"/>
  <pageSetup paperSize="9" orientation="portrait"/>
  <drawing r:id="rId1"/>
</worksheet>
</file>